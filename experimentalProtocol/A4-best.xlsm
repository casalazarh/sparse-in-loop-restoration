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11" codeName="{A63ED3A1-9429-3D75-F2AA-CA7E51A8F3A1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carsala/Documents/MATLAB/1. thesis/Resultados/BD-Rate/"/>
    </mc:Choice>
  </mc:AlternateContent>
  <xr:revisionPtr revIDLastSave="0" documentId="8_{6F2EB021-991C-3049-8C4C-3484D47F65E7}" xr6:coauthVersionLast="47" xr6:coauthVersionMax="47" xr10:uidLastSave="{00000000-0000-0000-0000-000000000000}"/>
  <bookViews>
    <workbookView xWindow="0" yWindow="740" windowWidth="34560" windowHeight="21600" activeTab="2" xr2:uid="{00000000-000D-0000-FFFF-FFFF00000000}"/>
  </bookViews>
  <sheets>
    <sheet name="License and usage" sheetId="3" r:id="rId1"/>
    <sheet name="ETRO Example 9-points" sheetId="1" r:id="rId2"/>
    <sheet name="Verification with VCEG-M33-PSNR" sheetId="2" r:id="rId3"/>
    <sheet name="Verification with VCEG-M33 VMAF" sheetId="4" r:id="rId4"/>
  </sheets>
  <functionGroups builtInGroupCount="19"/>
  <definedNames>
    <definedName name="psnr1" localSheetId="3">OFFSET('Verification with VCEG-M33 VMAF'!$B$5, 0, 0, COUNTA('Verification with VCEG-M33 VMAF'!$B$5:$B$101), 1)</definedName>
    <definedName name="psnr1" localSheetId="2">OFFSET('Verification with VCEG-M33-PSNR'!$B$5, 0, 0, COUNTA('Verification with VCEG-M33-PSNR'!$B$5:$B$101), 1)</definedName>
    <definedName name="psnr2" localSheetId="3">OFFSET('Verification with VCEG-M33 VMAF'!$D$5, 0, 0, COUNTA('Verification with VCEG-M33 VMAF'!$D$5:$D$101), 1)</definedName>
    <definedName name="psnr2" localSheetId="2">OFFSET('Verification with VCEG-M33-PSNR'!$D$5, 0, 0, COUNTA('Verification with VCEG-M33-PSNR'!$D$5:$D$101), 1)</definedName>
    <definedName name="rates1" localSheetId="3">OFFSET('Verification with VCEG-M33 VMAF'!$A$5, 0, 0, COUNTA('Verification with VCEG-M33 VMAF'!$A$5:$A$101), 1)</definedName>
    <definedName name="rates1" localSheetId="2">OFFSET('Verification with VCEG-M33-PSNR'!$A$5, 0, 0, COUNTA('Verification with VCEG-M33-PSNR'!$A$5:$A$101), 1)</definedName>
    <definedName name="rates2" localSheetId="3">OFFSET('Verification with VCEG-M33 VMAF'!$C$5, 0, 0, COUNTA('Verification with VCEG-M33 VMAF'!$C$5:$C$101), 1)</definedName>
    <definedName name="rates2" localSheetId="2">OFFSET('Verification with VCEG-M33-PSNR'!$C$5, 0, 0, COUNTA('Verification with VCEG-M33-PSNR'!$C$5:$C$101), 1)</definedName>
  </definedNames>
  <calcPr calcId="191029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2" l="1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N4" i="4" a="1"/>
  <c r="N4" i="2" a="1"/>
  <c r="N4" i="4" l="1"/>
  <c r="N4" i="2"/>
  <c r="M4" i="2" a="1"/>
  <c r="M4" i="2" l="1"/>
  <c r="I5" i="4"/>
  <c r="I4" i="4"/>
  <c r="I5" i="2"/>
  <c r="I4" i="2"/>
  <c r="C3" i="1"/>
  <c r="C4" i="1"/>
  <c r="C5" i="1"/>
  <c r="C6" i="1"/>
  <c r="C7" i="1"/>
  <c r="C8" i="1"/>
  <c r="C9" i="1"/>
  <c r="C10" i="1"/>
  <c r="C11" i="1"/>
  <c r="I3" i="1" a="1"/>
  <c r="J3" i="1" a="1"/>
  <c r="M4" i="4" a="1"/>
  <c r="M4" i="4" l="1"/>
  <c r="J3" i="1"/>
  <c r="I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<sst xmlns="http://schemas.openxmlformats.org/spreadsheetml/2006/main" count="77" uniqueCount="51">
  <si>
    <t>barb512</t>
  </si>
  <si>
    <t>3DCS</t>
  </si>
  <si>
    <t>KDU</t>
  </si>
  <si>
    <t>Image</t>
  </si>
  <si>
    <t>Target rate</t>
  </si>
  <si>
    <t>9x7, 5 levels</t>
  </si>
  <si>
    <t>Rate</t>
  </si>
  <si>
    <t>PSNR</t>
  </si>
  <si>
    <t>CB size</t>
  </si>
  <si>
    <t>Curve1</t>
  </si>
  <si>
    <t>Curve2</t>
  </si>
  <si>
    <t>bit-rate</t>
  </si>
  <si>
    <t>psnr</t>
  </si>
  <si>
    <t>ETRO Version</t>
  </si>
  <si>
    <t>This sheet was copied from the original M33 Excel example. The numbers are static (original VBA code removed).</t>
  </si>
  <si>
    <t>These numbers are dynamically calculated with the ETRO Bjontegaard version and should match EXACTLY with the original numbers.</t>
  </si>
  <si>
    <t>Bjontegaard Metric implementation for Excel.</t>
  </si>
  <si>
    <t>BDSNR(BR1, PSNR1, BR2, PSNR2)</t>
  </si>
  <si>
    <t>Returns the delta-SNR Bjontegaard (in dB)</t>
  </si>
  <si>
    <t>BDBR(BR1, PSNR1, BR2, PSNR2)</t>
  </si>
  <si>
    <t>Returns the delta-rate Bjontegaard (in %)</t>
  </si>
  <si>
    <t>Author:</t>
  </si>
  <si>
    <t>Provides two functions:</t>
  </si>
  <si>
    <t>Tim Bruylants, ETRO, Vrije Universiteit Brussel</t>
  </si>
  <si>
    <t>References:</t>
  </si>
  <si>
    <t>[1] G. Bjontegaard, Calculation of average PSNR differences between RD-curves (VCEG-M33)</t>
  </si>
  <si>
    <t>[2] S. Pateux, J. Jung, An excel add-in for computing Bjontegaard metric and its evolution</t>
  </si>
  <si>
    <t>The MIT License (MIT)</t>
  </si>
  <si>
    <t>Copyright (c) 2013 Tim Bruylants, ETRO, Vrije Universiteit Brussel</t>
  </si>
  <si>
    <t>Permission is hereby granted, free of charge, to any person obtaining a copy of this software</t>
  </si>
  <si>
    <t>and associated documentation files (the "Software"), to deal in the Software without</t>
  </si>
  <si>
    <t>restriction, including without limitation the rights to use, copy, modify, merge, publish,</t>
  </si>
  <si>
    <t>distribute, sublicense, and/or sell copies of the Software, and to permit persons to whom</t>
  </si>
  <si>
    <t>the Software is furnished to do so, subject to the following conditions:</t>
  </si>
  <si>
    <t>The above copyright notice and this permission notice shall be included in all copies or</t>
  </si>
  <si>
    <t>substantial portions of the Software.</t>
  </si>
  <si>
    <t>DEALINGS IN THE SOFTWARE.</t>
  </si>
  <si>
    <t>OTHERWISE, ARISING FROM, OUT OF OR IN CONNECTION WITH THE SOFTWARE OR THE USE OR OTHER</t>
  </si>
  <si>
    <t>FOR ANY CLAIM, DAMAGES OR OTHER LIABILITY, WHETHER IN AN ACTION OF CONTRACT, TORT OR</t>
  </si>
  <si>
    <t>PURPOSE AND NONINFRINGEMENT. IN NO EVENT SHALL THE AUTHORS OR COPYRIGHT HOLDERS BE LIABLE</t>
  </si>
  <si>
    <t>INCLUDING BUT NOT LIMITED TO THE WARRANTIES OF MERCHANTABILITY, FITNESS FOR A PARTICULAR</t>
  </si>
  <si>
    <t>THE SOFTWARE IS PROVIDED "AS IS", WITHOUT WARRANTY OF ANY KIND, EXPRESS OR IMPLIED,</t>
  </si>
  <si>
    <t>BDSNR #p</t>
  </si>
  <si>
    <t>BDBR #p</t>
  </si>
  <si>
    <t>BDBR (%)</t>
  </si>
  <si>
    <t>BDSNR (dB)</t>
  </si>
  <si>
    <t>BDBR</t>
  </si>
  <si>
    <t>BDSNR</t>
  </si>
  <si>
    <t>vmaf</t>
  </si>
  <si>
    <t>anchor</t>
  </si>
  <si>
    <t>SSRM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</si>
</sst>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0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onsolas"/>
      <family val="3"/>
    </font>
    <font>
      <sz val="12"/>
      <color theme="3" tint="0.3999755851924192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auto="1"/>
      </bottom>
      <diagonal/>
    </border>
  </borders>
  <cellStyleXfs count="9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44">
    <xf numFmtId="0" fontId="0" fillId="0" borderId="0" xfId="0"/>
    <xf numFmtId="0" fontId="16" fillId="0" borderId="0" xfId="0" applyFont="1"/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0" fontId="18" fillId="0" borderId="0" xfId="0" applyFont="1" applyAlignment="1">
      <alignment horizontal="center"/>
    </xf>
    <xf numFmtId="164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2" fontId="0" fillId="0" borderId="0" xfId="0" applyNumberFormat="1"/>
    <xf numFmtId="164" fontId="16" fillId="0" borderId="0" xfId="0" applyNumberFormat="1" applyFont="1" applyAlignment="1">
      <alignment horizontal="center"/>
    </xf>
    <xf numFmtId="2" fontId="16" fillId="0" borderId="0" xfId="0" applyNumberFormat="1" applyFont="1" applyAlignment="1">
      <alignment horizontal="center"/>
    </xf>
    <xf numFmtId="0" fontId="16" fillId="0" borderId="12" xfId="0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0" borderId="14" xfId="0" applyFont="1" applyBorder="1" applyAlignment="1">
      <alignment horizontal="center"/>
    </xf>
    <xf numFmtId="0" fontId="0" fillId="0" borderId="15" xfId="0" applyBorder="1"/>
    <xf numFmtId="0" fontId="0" fillId="0" borderId="0" xfId="0" applyAlignment="1">
      <alignment horizontal="left"/>
    </xf>
    <xf numFmtId="0" fontId="16" fillId="0" borderId="16" xfId="0" applyFont="1" applyBorder="1" applyAlignment="1">
      <alignment horizontal="center"/>
    </xf>
    <xf numFmtId="0" fontId="16" fillId="0" borderId="17" xfId="0" applyFont="1" applyBorder="1" applyAlignment="1">
      <alignment horizontal="center"/>
    </xf>
    <xf numFmtId="0" fontId="16" fillId="0" borderId="18" xfId="0" applyFont="1" applyBorder="1" applyAlignment="1">
      <alignment horizontal="center"/>
    </xf>
    <xf numFmtId="0" fontId="0" fillId="0" borderId="12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16" fillId="0" borderId="19" xfId="0" applyFont="1" applyBorder="1"/>
    <xf numFmtId="0" fontId="16" fillId="0" borderId="22" xfId="0" applyFont="1" applyBorder="1"/>
    <xf numFmtId="0" fontId="0" fillId="0" borderId="21" xfId="0" applyBorder="1" applyProtection="1">
      <protection locked="0"/>
    </xf>
    <xf numFmtId="0" fontId="0" fillId="0" borderId="0" xfId="0" applyProtection="1">
      <protection locked="0"/>
    </xf>
    <xf numFmtId="0" fontId="0" fillId="0" borderId="21" xfId="0" applyBorder="1"/>
    <xf numFmtId="0" fontId="16" fillId="0" borderId="23" xfId="0" applyFont="1" applyBorder="1"/>
    <xf numFmtId="0" fontId="16" fillId="0" borderId="24" xfId="0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164" fontId="22" fillId="0" borderId="12" xfId="0" applyNumberFormat="1" applyFont="1" applyBorder="1" applyAlignment="1" applyProtection="1">
      <alignment horizontal="center"/>
      <protection locked="0"/>
    </xf>
    <xf numFmtId="2" fontId="22" fillId="0" borderId="13" xfId="0" applyNumberFormat="1" applyFont="1" applyBorder="1" applyAlignment="1" applyProtection="1">
      <alignment horizontal="center"/>
      <protection locked="0"/>
    </xf>
    <xf numFmtId="164" fontId="23" fillId="0" borderId="26" xfId="0" applyNumberFormat="1" applyFont="1" applyBorder="1"/>
    <xf numFmtId="164" fontId="23" fillId="0" borderId="27" xfId="0" applyNumberFormat="1" applyFont="1" applyBorder="1"/>
    <xf numFmtId="0" fontId="24" fillId="0" borderId="0" xfId="0" applyFont="1"/>
    <xf numFmtId="0" fontId="21" fillId="0" borderId="28" xfId="0" applyFont="1" applyBorder="1" applyAlignment="1">
      <alignment horizontal="left" vertical="center"/>
    </xf>
    <xf numFmtId="0" fontId="0" fillId="0" borderId="19" xfId="0" applyBorder="1"/>
    <xf numFmtId="0" fontId="0" fillId="33" borderId="0" xfId="0" applyFill="1"/>
    <xf numFmtId="165" fontId="0" fillId="0" borderId="0" xfId="0" applyNumberFormat="1"/>
    <xf numFmtId="0" fontId="16" fillId="0" borderId="21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</cellXfs>
  <cellStyles count="9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5824354192568"/>
          <c:y val="3.3657564880762221E-2"/>
          <c:w val="0.84116098563337482"/>
          <c:h val="0.91371319038580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'Verification with VCEG-M33-PSNR'!$A$3</c:f>
              <c:strCache>
                <c:ptCount val="1"/>
                <c:pt idx="0">
                  <c:v>Curve1</c:v>
                </c:pt>
              </c:strCache>
            </c:strRef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pPr>
              <a:solidFill>
                <a:srgbClr val="4F81BD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0"/>
            <c:dispEq val="0"/>
          </c:trendline>
          <c:xVal>
            <c:numRef>
              <c:f>'Verification with VCEG-M33-PSNR'!$A$5:$A$8</c:f>
              <c:numCache>
                <c:formatCode>General</c:formatCode>
                <c:ptCount val="4"/>
                <c:pt idx="0">
                  <c:v>117300.56</c:v>
                </c:pt>
                <c:pt idx="1">
                  <c:v>57059.28</c:v>
                </c:pt>
                <c:pt idx="2">
                  <c:v>25459.200000000001</c:v>
                </c:pt>
                <c:pt idx="3">
                  <c:v>9662.7199999999993</c:v>
                </c:pt>
              </c:numCache>
            </c:numRef>
          </c:xVal>
          <c:yVal>
            <c:numRef>
              <c:f>'Verification with VCEG-M33-PSNR'!$B$5:$B$8</c:f>
              <c:numCache>
                <c:formatCode>General</c:formatCode>
                <c:ptCount val="4"/>
                <c:pt idx="0">
                  <c:v>37.759954</c:v>
                </c:pt>
                <c:pt idx="1">
                  <c:v>33.523859000000002</c:v>
                </c:pt>
                <c:pt idx="2">
                  <c:v>29.626653000000001</c:v>
                </c:pt>
                <c:pt idx="3">
                  <c:v>26.020966000000001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6F-4632-879B-B89F363F88C8}"/>
            </c:ext>
          </c:extLst>
        </c:ser>
        <c:ser>
          <c:idx val="1"/>
          <c:order val="1"/>
          <c:tx>
            <c:strRef>
              <c:f>'Verification with VCEG-M33-PSNR'!$C$3</c:f>
              <c:strCache>
                <c:ptCount val="1"/>
                <c:pt idx="0">
                  <c:v>SSRM</c:v>
                </c:pt>
              </c:strCache>
            </c:strRef>
          </c:tx>
          <c:spPr>
            <a:ln w="25400">
              <a:solidFill>
                <a:srgbClr val="993366"/>
              </a:solidFill>
              <a:prstDash val="solid"/>
            </a:ln>
          </c:spPr>
          <c:marker>
            <c:spPr>
              <a:solidFill>
                <a:srgbClr val="C0504D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0"/>
            <c:dispEq val="0"/>
          </c:trendline>
          <c:xVal>
            <c:numRef>
              <c:f>'Verification with VCEG-M33-PSNR'!$C$5:$C$8</c:f>
              <c:numCache>
                <c:formatCode>General</c:formatCode>
                <c:ptCount val="4"/>
                <c:pt idx="0">
                  <c:v>117410.013125</c:v>
                </c:pt>
                <c:pt idx="1">
                  <c:v>57295.295624999999</c:v>
                </c:pt>
                <c:pt idx="2">
                  <c:v>25622.237109375001</c:v>
                </c:pt>
                <c:pt idx="3">
                  <c:v>9787.4660937499993</c:v>
                </c:pt>
              </c:numCache>
            </c:numRef>
          </c:xVal>
          <c:yVal>
            <c:numRef>
              <c:f>'Verification with VCEG-M33-PSNR'!$D$5:$D$8</c:f>
              <c:numCache>
                <c:formatCode>General</c:formatCode>
                <c:ptCount val="4"/>
                <c:pt idx="0">
                  <c:v>37.778247999999998</c:v>
                </c:pt>
                <c:pt idx="1">
                  <c:v>33.563164999999998</c:v>
                </c:pt>
                <c:pt idx="2">
                  <c:v>29.679739000000001</c:v>
                </c:pt>
                <c:pt idx="3">
                  <c:v>26.087406999999999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6F-4632-879B-B89F363F8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699200"/>
        <c:axId val="2142702160"/>
      </c:scatterChart>
      <c:valAx>
        <c:axId val="2142699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42702160"/>
        <c:crosses val="autoZero"/>
        <c:crossBetween val="midCat"/>
      </c:valAx>
      <c:valAx>
        <c:axId val="2142702160"/>
        <c:scaling>
          <c:orientation val="minMax"/>
          <c:min val="2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14269920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8497606373146998"/>
          <c:y val="0.40409227299272998"/>
          <c:w val="0.100938874718125"/>
          <c:h val="0.18414322250639401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'Verification with VCEG-M33 VMAF'!$A$3</c:f>
              <c:strCache>
                <c:ptCount val="1"/>
                <c:pt idx="0">
                  <c:v>anchor</c:v>
                </c:pt>
              </c:strCache>
            </c:strRef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pPr>
              <a:solidFill>
                <a:srgbClr val="4F81BD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0"/>
            <c:dispEq val="0"/>
          </c:trendline>
          <c:xVal>
            <c:numRef>
              <c:f>'Verification with VCEG-M33 VMAF'!$A$5:$A$8</c:f>
              <c:numCache>
                <c:formatCode>General</c:formatCode>
                <c:ptCount val="4"/>
                <c:pt idx="0">
                  <c:v>117300.56</c:v>
                </c:pt>
                <c:pt idx="1">
                  <c:v>57059.28</c:v>
                </c:pt>
                <c:pt idx="2">
                  <c:v>25459.200000000001</c:v>
                </c:pt>
                <c:pt idx="3">
                  <c:v>9662.7199999999993</c:v>
                </c:pt>
              </c:numCache>
            </c:numRef>
          </c:xVal>
          <c:yVal>
            <c:numRef>
              <c:f>'Verification with VCEG-M33 VMAF'!$B$5:$B$8</c:f>
              <c:numCache>
                <c:formatCode>General</c:formatCode>
                <c:ptCount val="4"/>
                <c:pt idx="0">
                  <c:v>98.678254999999993</c:v>
                </c:pt>
                <c:pt idx="1">
                  <c:v>92.075226999999998</c:v>
                </c:pt>
                <c:pt idx="2">
                  <c:v>74.971254999999999</c:v>
                </c:pt>
                <c:pt idx="3">
                  <c:v>47.660854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DA-F444-B7CA-DF32731FCEC6}"/>
            </c:ext>
          </c:extLst>
        </c:ser>
        <c:ser>
          <c:idx val="1"/>
          <c:order val="1"/>
          <c:tx>
            <c:strRef>
              <c:f>'Verification with VCEG-M33 VMAF'!$C$3</c:f>
              <c:strCache>
                <c:ptCount val="1"/>
                <c:pt idx="0">
                  <c:v>Curve2</c:v>
                </c:pt>
              </c:strCache>
            </c:strRef>
          </c:tx>
          <c:spPr>
            <a:ln w="25400">
              <a:solidFill>
                <a:srgbClr val="993366"/>
              </a:solidFill>
              <a:prstDash val="solid"/>
            </a:ln>
          </c:spPr>
          <c:marker>
            <c:spPr>
              <a:solidFill>
                <a:srgbClr val="C0504D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0"/>
            <c:dispEq val="0"/>
          </c:trendline>
          <c:xVal>
            <c:numRef>
              <c:f>'Verification with VCEG-M33 VMAF'!$C$5:$C$8</c:f>
              <c:numCache>
                <c:formatCode>General</c:formatCode>
                <c:ptCount val="4"/>
                <c:pt idx="0">
                  <c:v>117410.013125</c:v>
                </c:pt>
                <c:pt idx="1">
                  <c:v>57295.295624999999</c:v>
                </c:pt>
                <c:pt idx="2">
                  <c:v>25622.237109375001</c:v>
                </c:pt>
                <c:pt idx="3">
                  <c:v>9787.4660937499993</c:v>
                </c:pt>
              </c:numCache>
            </c:numRef>
          </c:xVal>
          <c:yVal>
            <c:numRef>
              <c:f>'Verification with VCEG-M33 VMAF'!$D$5:$D$8</c:f>
              <c:numCache>
                <c:formatCode>General</c:formatCode>
                <c:ptCount val="4"/>
                <c:pt idx="0">
                  <c:v>98.705509000000006</c:v>
                </c:pt>
                <c:pt idx="1">
                  <c:v>92.694137999999995</c:v>
                </c:pt>
                <c:pt idx="2">
                  <c:v>76.467302000000004</c:v>
                </c:pt>
                <c:pt idx="3">
                  <c:v>49.266202999999997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DA-F444-B7CA-DF32731FC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699200"/>
        <c:axId val="2142702160"/>
      </c:scatterChart>
      <c:valAx>
        <c:axId val="2142699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42702160"/>
        <c:crosses val="autoZero"/>
        <c:crossBetween val="midCat"/>
      </c:valAx>
      <c:valAx>
        <c:axId val="2142702160"/>
        <c:scaling>
          <c:orientation val="minMax"/>
          <c:min val="2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14269920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8497606373146998"/>
          <c:y val="0.40409227299272998"/>
          <c:w val="0.100938874718125"/>
          <c:h val="0.18414322250639401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622300</xdr:colOff>
      <xdr:row>9</xdr:row>
      <xdr:rowOff>71120</xdr:rowOff>
    </xdr:from>
    <xdr:to>
      <xdr:col>21</xdr:col>
      <xdr:colOff>86360</xdr:colOff>
      <xdr:row>37</xdr:row>
      <xdr:rowOff>58420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406400</xdr:colOff>
      <xdr:row>5</xdr:row>
      <xdr:rowOff>165100</xdr:rowOff>
    </xdr:from>
    <xdr:to>
      <xdr:col>24</xdr:col>
      <xdr:colOff>469900</xdr:colOff>
      <xdr:row>33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7AE6DB-346B-1746-AADF-9AFBEB9A73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1"/>
  <sheetViews>
    <sheetView workbookViewId="0"/>
  </sheetViews>
  <sheetFormatPr baseColWidth="10" defaultColWidth="11.5" defaultRowHeight="15" x14ac:dyDescent="0.2"/>
  <sheetData>
    <row r="1" spans="1:5" x14ac:dyDescent="0.2">
      <c r="A1" s="1" t="s">
        <v>16</v>
      </c>
    </row>
    <row r="3" spans="1:5" x14ac:dyDescent="0.2">
      <c r="A3" s="1" t="s">
        <v>22</v>
      </c>
    </row>
    <row r="4" spans="1:5" x14ac:dyDescent="0.2">
      <c r="B4" t="s">
        <v>17</v>
      </c>
      <c r="E4" t="s">
        <v>18</v>
      </c>
    </row>
    <row r="5" spans="1:5" x14ac:dyDescent="0.2">
      <c r="B5" t="s">
        <v>19</v>
      </c>
      <c r="E5" t="s">
        <v>20</v>
      </c>
    </row>
    <row r="7" spans="1:5" x14ac:dyDescent="0.2">
      <c r="A7" s="1" t="s">
        <v>21</v>
      </c>
    </row>
    <row r="8" spans="1:5" x14ac:dyDescent="0.2">
      <c r="B8" t="s">
        <v>23</v>
      </c>
    </row>
    <row r="10" spans="1:5" x14ac:dyDescent="0.2">
      <c r="A10" s="1" t="s">
        <v>24</v>
      </c>
    </row>
    <row r="11" spans="1:5" x14ac:dyDescent="0.2">
      <c r="B11" t="s">
        <v>25</v>
      </c>
    </row>
    <row r="12" spans="1:5" x14ac:dyDescent="0.2">
      <c r="B12" t="s">
        <v>26</v>
      </c>
    </row>
    <row r="14" spans="1:5" x14ac:dyDescent="0.2">
      <c r="A14" s="33" t="s">
        <v>27</v>
      </c>
    </row>
    <row r="15" spans="1:5" x14ac:dyDescent="0.2">
      <c r="A15" s="33" t="s">
        <v>28</v>
      </c>
    </row>
    <row r="16" spans="1:5" x14ac:dyDescent="0.2">
      <c r="A16" s="33"/>
    </row>
    <row r="17" spans="1:1" x14ac:dyDescent="0.2">
      <c r="A17" s="33" t="s">
        <v>29</v>
      </c>
    </row>
    <row r="18" spans="1:1" x14ac:dyDescent="0.2">
      <c r="A18" s="33" t="s">
        <v>30</v>
      </c>
    </row>
    <row r="19" spans="1:1" x14ac:dyDescent="0.2">
      <c r="A19" s="33" t="s">
        <v>31</v>
      </c>
    </row>
    <row r="20" spans="1:1" x14ac:dyDescent="0.2">
      <c r="A20" s="33" t="s">
        <v>32</v>
      </c>
    </row>
    <row r="21" spans="1:1" x14ac:dyDescent="0.2">
      <c r="A21" s="33" t="s">
        <v>33</v>
      </c>
    </row>
    <row r="22" spans="1:1" x14ac:dyDescent="0.2">
      <c r="A22" s="33"/>
    </row>
    <row r="23" spans="1:1" x14ac:dyDescent="0.2">
      <c r="A23" t="s">
        <v>34</v>
      </c>
    </row>
    <row r="24" spans="1:1" x14ac:dyDescent="0.2">
      <c r="A24" t="s">
        <v>35</v>
      </c>
    </row>
    <row r="26" spans="1:1" x14ac:dyDescent="0.2">
      <c r="A26" t="s">
        <v>41</v>
      </c>
    </row>
    <row r="27" spans="1:1" x14ac:dyDescent="0.2">
      <c r="A27" t="s">
        <v>40</v>
      </c>
    </row>
    <row r="28" spans="1:1" x14ac:dyDescent="0.2">
      <c r="A28" t="s">
        <v>39</v>
      </c>
    </row>
    <row r="29" spans="1:1" x14ac:dyDescent="0.2">
      <c r="A29" t="s">
        <v>38</v>
      </c>
    </row>
    <row r="30" spans="1:1" x14ac:dyDescent="0.2">
      <c r="A30" t="s">
        <v>37</v>
      </c>
    </row>
    <row r="31" spans="1:1" x14ac:dyDescent="0.2">
      <c r="A31" t="s">
        <v>36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1"/>
  <sheetViews>
    <sheetView workbookViewId="0">
      <selection activeCell="I3" sqref="I3"/>
    </sheetView>
  </sheetViews>
  <sheetFormatPr baseColWidth="10" defaultColWidth="8.83203125" defaultRowHeight="15" x14ac:dyDescent="0.2"/>
  <cols>
    <col min="1" max="1" width="12.5" bestFit="1" customWidth="1"/>
    <col min="2" max="2" width="10.5" style="3" bestFit="1" customWidth="1"/>
    <col min="3" max="3" width="10.5" style="3" customWidth="1"/>
    <col min="9" max="10" width="8.83203125" style="3"/>
    <col min="12" max="12" width="11.5" bestFit="1" customWidth="1"/>
  </cols>
  <sheetData>
    <row r="1" spans="1:14" x14ac:dyDescent="0.2">
      <c r="A1" s="41" t="s">
        <v>5</v>
      </c>
      <c r="B1" s="41"/>
      <c r="C1" s="5"/>
      <c r="D1" s="40" t="s">
        <v>1</v>
      </c>
      <c r="E1" s="40"/>
      <c r="F1" s="40" t="s">
        <v>2</v>
      </c>
      <c r="G1" s="40"/>
      <c r="H1" s="1"/>
      <c r="I1" s="9"/>
      <c r="J1" s="10"/>
    </row>
    <row r="2" spans="1:14" x14ac:dyDescent="0.2">
      <c r="A2" s="1" t="s">
        <v>3</v>
      </c>
      <c r="B2" s="2" t="s">
        <v>4</v>
      </c>
      <c r="C2" s="2" t="s">
        <v>8</v>
      </c>
      <c r="D2" s="2" t="s">
        <v>6</v>
      </c>
      <c r="E2" s="2" t="s">
        <v>7</v>
      </c>
      <c r="F2" s="2" t="s">
        <v>6</v>
      </c>
      <c r="G2" s="2" t="s">
        <v>7</v>
      </c>
      <c r="H2" s="2"/>
      <c r="I2" s="2" t="s">
        <v>47</v>
      </c>
      <c r="J2" s="2" t="s">
        <v>46</v>
      </c>
      <c r="K2" s="2"/>
    </row>
    <row r="3" spans="1:14" x14ac:dyDescent="0.2">
      <c r="A3" t="s">
        <v>0</v>
      </c>
      <c r="B3" s="3">
        <v>3</v>
      </c>
      <c r="C3" s="3" t="str">
        <f t="shared" ref="C3:C11" si="0">"32x32"</f>
        <v>32x32</v>
      </c>
      <c r="D3" s="4">
        <v>2.99899</v>
      </c>
      <c r="E3" s="4">
        <v>48.668100000000003</v>
      </c>
      <c r="F3" s="4">
        <v>2.9972530000000002</v>
      </c>
      <c r="G3" s="4">
        <v>48.563699999999997</v>
      </c>
      <c r="H3" s="4"/>
      <c r="I3" s="3" cm="1">
        <f t="array" ref="I3">BDSNR($D3:$D11,$E3:$E11,$F3:$F11,$G3:$G11)</f>
        <v>7.2296844856407055E-2</v>
      </c>
      <c r="J3" s="3" cm="1">
        <f t="array" ref="J3">BDBR($D3:$D11,$E3:$E11,$F3:$F11,$G3:$G11)</f>
        <v>-0.90345048358024815</v>
      </c>
      <c r="M3" s="6"/>
      <c r="N3" s="8"/>
    </row>
    <row r="4" spans="1:14" x14ac:dyDescent="0.2">
      <c r="A4" t="s">
        <v>0</v>
      </c>
      <c r="B4" s="3">
        <v>2</v>
      </c>
      <c r="C4" s="3" t="str">
        <f t="shared" si="0"/>
        <v>32x32</v>
      </c>
      <c r="D4" s="4">
        <v>1.99884</v>
      </c>
      <c r="E4" s="4">
        <v>43.835700000000003</v>
      </c>
      <c r="F4" s="4">
        <v>1.9682919999999999</v>
      </c>
      <c r="G4" s="4">
        <v>43.7318</v>
      </c>
      <c r="H4" s="4"/>
      <c r="M4" s="4"/>
      <c r="N4" s="7"/>
    </row>
    <row r="5" spans="1:14" x14ac:dyDescent="0.2">
      <c r="A5" t="s">
        <v>0</v>
      </c>
      <c r="B5" s="3">
        <v>1.5</v>
      </c>
      <c r="C5" s="3" t="str">
        <f t="shared" si="0"/>
        <v>32x32</v>
      </c>
      <c r="D5" s="4">
        <v>1.4967299999999999</v>
      </c>
      <c r="E5" s="4">
        <v>41.398200000000003</v>
      </c>
      <c r="F5" s="4">
        <v>1.4725649999999999</v>
      </c>
      <c r="G5" s="4">
        <v>41.2727</v>
      </c>
      <c r="H5" s="4"/>
      <c r="M5" s="4"/>
      <c r="N5" s="8"/>
    </row>
    <row r="6" spans="1:14" x14ac:dyDescent="0.2">
      <c r="A6" t="s">
        <v>0</v>
      </c>
      <c r="B6" s="3">
        <v>1</v>
      </c>
      <c r="C6" s="3" t="str">
        <f t="shared" si="0"/>
        <v>32x32</v>
      </c>
      <c r="D6" s="4">
        <v>0.99707000000000001</v>
      </c>
      <c r="E6" s="4">
        <v>38.0124</v>
      </c>
      <c r="F6" s="4">
        <v>0.99496499999999999</v>
      </c>
      <c r="G6" s="4">
        <v>38.000100000000003</v>
      </c>
      <c r="H6" s="4"/>
      <c r="M6" s="4"/>
    </row>
    <row r="7" spans="1:14" x14ac:dyDescent="0.2">
      <c r="A7" t="s">
        <v>0</v>
      </c>
      <c r="B7" s="3">
        <v>0.75</v>
      </c>
      <c r="C7" s="3" t="str">
        <f t="shared" si="0"/>
        <v>32x32</v>
      </c>
      <c r="D7" s="4">
        <v>0.74594099999999997</v>
      </c>
      <c r="E7" s="4">
        <v>35.5122</v>
      </c>
      <c r="F7" s="4">
        <v>0.74887099999999995</v>
      </c>
      <c r="G7" s="4">
        <v>35.637500000000003</v>
      </c>
      <c r="H7" s="4"/>
      <c r="M7" s="4"/>
    </row>
    <row r="8" spans="1:14" x14ac:dyDescent="0.2">
      <c r="A8" t="s">
        <v>0</v>
      </c>
      <c r="B8" s="3">
        <v>0.6</v>
      </c>
      <c r="C8" s="3" t="str">
        <f t="shared" si="0"/>
        <v>32x32</v>
      </c>
      <c r="D8" s="4">
        <v>0.59643599999999997</v>
      </c>
      <c r="E8" s="4">
        <v>33.8673</v>
      </c>
      <c r="F8" s="4">
        <v>0.58901999999999999</v>
      </c>
      <c r="G8" s="4">
        <v>33.905700000000003</v>
      </c>
      <c r="H8" s="4"/>
      <c r="M8" s="4"/>
    </row>
    <row r="9" spans="1:14" x14ac:dyDescent="0.2">
      <c r="A9" t="s">
        <v>0</v>
      </c>
      <c r="B9" s="3">
        <v>0.5</v>
      </c>
      <c r="C9" s="3" t="str">
        <f t="shared" si="0"/>
        <v>32x32</v>
      </c>
      <c r="D9" s="4">
        <v>0.49514799999999998</v>
      </c>
      <c r="E9" s="4">
        <v>32.665799999999997</v>
      </c>
      <c r="F9" s="4">
        <v>0.49917600000000001</v>
      </c>
      <c r="G9" s="4">
        <v>32.831800000000001</v>
      </c>
      <c r="H9" s="4"/>
      <c r="M9" s="4"/>
      <c r="N9" s="8"/>
    </row>
    <row r="10" spans="1:14" x14ac:dyDescent="0.2">
      <c r="A10" t="s">
        <v>0</v>
      </c>
      <c r="B10" s="3">
        <v>0.3</v>
      </c>
      <c r="C10" s="3" t="str">
        <f t="shared" si="0"/>
        <v>32x32</v>
      </c>
      <c r="D10" s="4">
        <v>0.29425000000000001</v>
      </c>
      <c r="E10" s="4">
        <v>29.450500000000002</v>
      </c>
      <c r="F10" s="4">
        <v>0.29675299999999999</v>
      </c>
      <c r="G10" s="4">
        <v>29.685099999999998</v>
      </c>
      <c r="H10" s="4"/>
      <c r="M10" s="4"/>
    </row>
    <row r="11" spans="1:14" x14ac:dyDescent="0.2">
      <c r="A11" t="s">
        <v>0</v>
      </c>
      <c r="B11" s="3">
        <v>0.25</v>
      </c>
      <c r="C11" s="3" t="str">
        <f t="shared" si="0"/>
        <v>32x32</v>
      </c>
      <c r="D11" s="4">
        <v>0.24404899999999999</v>
      </c>
      <c r="E11" s="4">
        <v>28.484000000000002</v>
      </c>
      <c r="F11" s="4">
        <v>0.24963399999999999</v>
      </c>
      <c r="G11" s="4">
        <v>28.824400000000001</v>
      </c>
      <c r="H11" s="4"/>
      <c r="M11" s="4"/>
    </row>
  </sheetData>
  <mergeCells count="3">
    <mergeCell ref="D1:E1"/>
    <mergeCell ref="F1:G1"/>
    <mergeCell ref="A1:B1"/>
  </mergeCells>
  <pageMargins left="0.7" right="0.7" top="0.75" bottom="0.75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02"/>
  <sheetViews>
    <sheetView tabSelected="1" topLeftCell="A3" zoomScale="125" zoomScaleNormal="70" workbookViewId="0">
      <selection activeCell="F26" sqref="F26:F27"/>
    </sheetView>
  </sheetViews>
  <sheetFormatPr baseColWidth="10" defaultColWidth="8.83203125" defaultRowHeight="15" x14ac:dyDescent="0.2"/>
  <cols>
    <col min="1" max="1" width="10" bestFit="1" customWidth="1"/>
    <col min="2" max="2" width="8" style="25" bestFit="1" customWidth="1"/>
    <col min="3" max="3" width="10" bestFit="1" customWidth="1"/>
    <col min="4" max="4" width="8" style="25" bestFit="1" customWidth="1"/>
    <col min="5" max="5" width="11.83203125" bestFit="1" customWidth="1"/>
    <col min="6" max="6" width="9.83203125" bestFit="1" customWidth="1"/>
    <col min="7" max="7" width="11.83203125" bestFit="1" customWidth="1"/>
    <col min="8" max="8" width="9" bestFit="1" customWidth="1"/>
    <col min="9" max="9" width="34" customWidth="1"/>
    <col min="12" max="12" width="17" customWidth="1"/>
    <col min="13" max="13" width="10.5" bestFit="1" customWidth="1"/>
  </cols>
  <sheetData>
    <row r="1" spans="1:14" x14ac:dyDescent="0.2">
      <c r="A1" s="1" t="s">
        <v>14</v>
      </c>
      <c r="L1" s="1" t="s">
        <v>15</v>
      </c>
    </row>
    <row r="2" spans="1:14" ht="16" thickBot="1" x14ac:dyDescent="0.25"/>
    <row r="3" spans="1:14" x14ac:dyDescent="0.2">
      <c r="A3" s="42" t="s">
        <v>9</v>
      </c>
      <c r="B3" s="43"/>
      <c r="C3" s="42" t="s">
        <v>50</v>
      </c>
      <c r="D3" s="43"/>
      <c r="E3" s="11" t="s">
        <v>45</v>
      </c>
      <c r="F3" s="12" t="s">
        <v>44</v>
      </c>
      <c r="G3" s="11" t="s">
        <v>42</v>
      </c>
      <c r="H3" s="13" t="s">
        <v>43</v>
      </c>
      <c r="I3" s="14"/>
      <c r="J3" s="15"/>
      <c r="L3" s="26" t="s">
        <v>13</v>
      </c>
      <c r="M3" s="27" t="s">
        <v>45</v>
      </c>
      <c r="N3" s="28" t="s">
        <v>44</v>
      </c>
    </row>
    <row r="4" spans="1:14" ht="17" thickBot="1" x14ac:dyDescent="0.25">
      <c r="A4" s="16" t="s">
        <v>11</v>
      </c>
      <c r="B4" s="17" t="s">
        <v>12</v>
      </c>
      <c r="C4" s="18" t="s">
        <v>11</v>
      </c>
      <c r="D4" s="17" t="s">
        <v>12</v>
      </c>
      <c r="E4" s="29">
        <v>0.80071318397395785</v>
      </c>
      <c r="F4" s="30">
        <v>-13.261772993093556</v>
      </c>
      <c r="G4" s="19">
        <v>36</v>
      </c>
      <c r="H4" s="20">
        <v>36</v>
      </c>
      <c r="I4" s="21" t="str">
        <f>A3</f>
        <v>Curve1</v>
      </c>
      <c r="L4" s="34"/>
      <c r="M4" s="31" cm="1">
        <f t="array" ref="M4">BDSNR(A5:A10,B5:B10,C5:C10,D5:D10)</f>
        <v>1.8724413000806583E-2</v>
      </c>
      <c r="N4" s="32" cm="1">
        <f t="array" ref="N4">BDBR(A5:A40,B5:B40,C5:C40,D5:D40)</f>
        <v>3.2550948226130805</v>
      </c>
    </row>
    <row r="5" spans="1:14" x14ac:dyDescent="0.2">
      <c r="A5" s="35">
        <v>117300.56</v>
      </c>
      <c r="B5" s="35">
        <v>37.759954</v>
      </c>
      <c r="C5" s="35">
        <v>117410.013125</v>
      </c>
      <c r="D5">
        <v>37.778247999999998</v>
      </c>
      <c r="E5">
        <f>D5-B5</f>
        <v>1.8293999999997368E-2</v>
      </c>
      <c r="F5">
        <f>(C5-A5)*100/A5</f>
        <v>9.3309976525261268E-2</v>
      </c>
      <c r="G5" s="19">
        <v>36</v>
      </c>
      <c r="H5" s="20">
        <v>36</v>
      </c>
      <c r="I5" s="22" t="str">
        <f>C3</f>
        <v>SSRM</v>
      </c>
    </row>
    <row r="6" spans="1:14" x14ac:dyDescent="0.2">
      <c r="A6" s="35">
        <v>57059.28</v>
      </c>
      <c r="B6" s="35">
        <v>33.523859000000002</v>
      </c>
      <c r="C6" s="35">
        <v>57295.295624999999</v>
      </c>
      <c r="D6">
        <v>33.563164999999998</v>
      </c>
      <c r="E6">
        <f t="shared" ref="E6:E40" si="0">D6-B6</f>
        <v>3.9305999999996288E-2</v>
      </c>
      <c r="F6">
        <f t="shared" ref="F6:F40" si="1">(C6-A6)*100/A6</f>
        <v>0.41363232238471992</v>
      </c>
    </row>
    <row r="7" spans="1:14" x14ac:dyDescent="0.2">
      <c r="A7" s="35">
        <v>25459.200000000001</v>
      </c>
      <c r="B7" s="35">
        <v>29.626653000000001</v>
      </c>
      <c r="C7" s="35">
        <v>25622.237109375001</v>
      </c>
      <c r="D7">
        <v>29.679739000000001</v>
      </c>
      <c r="E7">
        <f t="shared" si="0"/>
        <v>5.3086000000000411E-2</v>
      </c>
      <c r="F7">
        <f t="shared" si="1"/>
        <v>0.64038583056419685</v>
      </c>
    </row>
    <row r="8" spans="1:14" x14ac:dyDescent="0.2">
      <c r="A8" s="35">
        <v>9662.7199999999993</v>
      </c>
      <c r="B8" s="35">
        <v>26.020966000000001</v>
      </c>
      <c r="C8" s="35">
        <v>9787.4660937499993</v>
      </c>
      <c r="D8">
        <v>26.087406999999999</v>
      </c>
      <c r="E8">
        <f t="shared" si="0"/>
        <v>6.644099999999753E-2</v>
      </c>
      <c r="F8">
        <f t="shared" si="1"/>
        <v>1.2910039176339583</v>
      </c>
    </row>
    <row r="9" spans="1:14" x14ac:dyDescent="0.2">
      <c r="A9" s="35">
        <v>2918.16</v>
      </c>
      <c r="B9" s="35">
        <v>22.911142999999999</v>
      </c>
      <c r="C9" s="35">
        <v>3051.5193749999999</v>
      </c>
      <c r="D9">
        <v>23.014586000000001</v>
      </c>
      <c r="E9">
        <f t="shared" si="0"/>
        <v>0.10344300000000217</v>
      </c>
      <c r="F9">
        <f t="shared" si="1"/>
        <v>4.5699815979932561</v>
      </c>
    </row>
    <row r="10" spans="1:14" x14ac:dyDescent="0.2">
      <c r="A10" s="35">
        <v>232951.92</v>
      </c>
      <c r="B10" s="35">
        <v>42.866971999999997</v>
      </c>
      <c r="C10" s="35">
        <v>233009.10750000001</v>
      </c>
      <c r="D10">
        <v>42.876306999999997</v>
      </c>
      <c r="E10">
        <f t="shared" si="0"/>
        <v>9.3350000000000932E-3</v>
      </c>
      <c r="F10">
        <f t="shared" si="1"/>
        <v>2.4549057161666665E-2</v>
      </c>
    </row>
    <row r="11" spans="1:14" x14ac:dyDescent="0.2">
      <c r="A11" s="35">
        <v>50229.696000000004</v>
      </c>
      <c r="B11" s="35">
        <v>40.693058999999998</v>
      </c>
      <c r="C11" s="35">
        <v>50607.742875000004</v>
      </c>
      <c r="D11">
        <v>40.77373</v>
      </c>
      <c r="E11">
        <f t="shared" si="0"/>
        <v>8.067100000000238E-2</v>
      </c>
      <c r="F11">
        <f t="shared" si="1"/>
        <v>0.75263619951034533</v>
      </c>
    </row>
    <row r="12" spans="1:14" x14ac:dyDescent="0.2">
      <c r="A12" s="35">
        <v>27712.511999999999</v>
      </c>
      <c r="B12" s="35">
        <v>35.779283</v>
      </c>
      <c r="C12" s="35">
        <v>28176.222937499999</v>
      </c>
      <c r="D12">
        <v>35.884923999999998</v>
      </c>
      <c r="E12">
        <f t="shared" si="0"/>
        <v>0.10564099999999854</v>
      </c>
      <c r="F12">
        <f t="shared" si="1"/>
        <v>1.673290885719779</v>
      </c>
      <c r="I12" s="37"/>
    </row>
    <row r="13" spans="1:14" x14ac:dyDescent="0.2">
      <c r="A13" s="35">
        <v>13484.64</v>
      </c>
      <c r="B13" s="35">
        <v>31.054637</v>
      </c>
      <c r="C13" s="35">
        <v>13718.780624999999</v>
      </c>
      <c r="D13">
        <v>31.143402999999999</v>
      </c>
      <c r="E13">
        <f t="shared" si="0"/>
        <v>8.8765999999999678E-2</v>
      </c>
      <c r="F13">
        <f t="shared" si="1"/>
        <v>1.7363505811056135</v>
      </c>
      <c r="I13" s="37"/>
    </row>
    <row r="14" spans="1:14" x14ac:dyDescent="0.2">
      <c r="A14" s="35">
        <v>5052.3360000000002</v>
      </c>
      <c r="B14" s="35">
        <v>26.684318000000001</v>
      </c>
      <c r="C14" s="35">
        <v>5199.4063125000002</v>
      </c>
      <c r="D14">
        <v>26.760670999999999</v>
      </c>
      <c r="E14">
        <f t="shared" si="0"/>
        <v>7.6352999999997451E-2</v>
      </c>
      <c r="F14">
        <f t="shared" si="1"/>
        <v>2.9109368913706453</v>
      </c>
      <c r="G14" s="36"/>
      <c r="H14" s="36"/>
      <c r="I14" s="37"/>
    </row>
    <row r="15" spans="1:14" x14ac:dyDescent="0.2">
      <c r="A15" s="35">
        <v>1523.28</v>
      </c>
      <c r="B15" s="35">
        <v>23.463640000000002</v>
      </c>
      <c r="C15" s="35">
        <v>1633.201875</v>
      </c>
      <c r="D15">
        <v>23.563502</v>
      </c>
      <c r="E15">
        <f t="shared" si="0"/>
        <v>9.9861999999998119E-2</v>
      </c>
      <c r="F15">
        <f t="shared" si="1"/>
        <v>7.2161306522766662</v>
      </c>
      <c r="G15" s="36"/>
      <c r="H15" s="36"/>
      <c r="I15" s="37"/>
    </row>
    <row r="16" spans="1:14" x14ac:dyDescent="0.2">
      <c r="A16" s="35">
        <v>83669.135999999999</v>
      </c>
      <c r="B16" s="35">
        <v>45.565933999999999</v>
      </c>
      <c r="C16" s="35">
        <v>83908.432874999999</v>
      </c>
      <c r="D16">
        <v>45.613733000000003</v>
      </c>
      <c r="E16">
        <f t="shared" si="0"/>
        <v>4.779900000000481E-2</v>
      </c>
      <c r="F16">
        <f t="shared" si="1"/>
        <v>0.28600376009619605</v>
      </c>
      <c r="I16" s="37"/>
    </row>
    <row r="17" spans="1:9" x14ac:dyDescent="0.2">
      <c r="A17" s="35">
        <v>49985.52</v>
      </c>
      <c r="B17" s="35">
        <v>39.992328999999998</v>
      </c>
      <c r="C17" s="35">
        <v>50265.246562499997</v>
      </c>
      <c r="D17">
        <v>40.050721000000003</v>
      </c>
      <c r="E17">
        <f t="shared" si="0"/>
        <v>5.8392000000004884E-2</v>
      </c>
      <c r="F17">
        <f t="shared" si="1"/>
        <v>0.55961518955889633</v>
      </c>
      <c r="I17" s="37"/>
    </row>
    <row r="18" spans="1:9" x14ac:dyDescent="0.2">
      <c r="A18" s="35">
        <v>26415.216</v>
      </c>
      <c r="B18" s="35">
        <v>35.268523000000002</v>
      </c>
      <c r="C18" s="35">
        <v>26783.0675625</v>
      </c>
      <c r="D18">
        <v>35.359465999999998</v>
      </c>
      <c r="E18">
        <f t="shared" si="0"/>
        <v>9.0942999999995777E-2</v>
      </c>
      <c r="F18">
        <f t="shared" si="1"/>
        <v>1.3925745013782964</v>
      </c>
    </row>
    <row r="19" spans="1:9" x14ac:dyDescent="0.2">
      <c r="A19" s="35">
        <v>12322.368</v>
      </c>
      <c r="B19" s="35">
        <v>30.859963</v>
      </c>
      <c r="C19" s="35">
        <v>12524.780109375</v>
      </c>
      <c r="D19">
        <v>30.946717</v>
      </c>
      <c r="E19">
        <f t="shared" si="0"/>
        <v>8.675399999999911E-2</v>
      </c>
      <c r="F19">
        <f t="shared" si="1"/>
        <v>1.6426397050875285</v>
      </c>
    </row>
    <row r="20" spans="1:9" x14ac:dyDescent="0.2">
      <c r="A20" s="35">
        <v>4441.1040000000003</v>
      </c>
      <c r="B20" s="35">
        <v>26.833404000000002</v>
      </c>
      <c r="C20" s="35">
        <v>4564.3266562500003</v>
      </c>
      <c r="D20">
        <v>26.913967</v>
      </c>
      <c r="E20">
        <f t="shared" si="0"/>
        <v>8.0562999999997942E-2</v>
      </c>
      <c r="F20">
        <f t="shared" si="1"/>
        <v>2.7745951513407476</v>
      </c>
    </row>
    <row r="21" spans="1:9" x14ac:dyDescent="0.2">
      <c r="A21" s="35">
        <v>1200.72</v>
      </c>
      <c r="B21" s="35">
        <v>23.764063</v>
      </c>
      <c r="C21" s="35">
        <v>1335.25125</v>
      </c>
      <c r="D21">
        <v>23.897739999999999</v>
      </c>
      <c r="E21">
        <f t="shared" si="0"/>
        <v>0.13367699999999871</v>
      </c>
      <c r="F21">
        <f t="shared" si="1"/>
        <v>11.20421497101739</v>
      </c>
    </row>
    <row r="22" spans="1:9" x14ac:dyDescent="0.2">
      <c r="A22" s="35">
        <v>86414.111999999994</v>
      </c>
      <c r="B22" s="35">
        <v>45.019677999999999</v>
      </c>
      <c r="C22" s="35">
        <v>86603.838562499994</v>
      </c>
      <c r="D22">
        <v>45.055134000000002</v>
      </c>
      <c r="E22">
        <f t="shared" si="0"/>
        <v>3.5456000000003485E-2</v>
      </c>
      <c r="F22">
        <f t="shared" si="1"/>
        <v>0.21955506815831194</v>
      </c>
    </row>
    <row r="23" spans="1:9" x14ac:dyDescent="0.2">
      <c r="A23" s="35">
        <v>56493.84</v>
      </c>
      <c r="B23" s="35">
        <v>37.106631999999998</v>
      </c>
      <c r="C23" s="35">
        <v>56557.121249999997</v>
      </c>
      <c r="D23">
        <v>37.117320999999997</v>
      </c>
      <c r="E23">
        <f t="shared" si="0"/>
        <v>1.0688999999999282E-2</v>
      </c>
      <c r="F23">
        <f t="shared" si="1"/>
        <v>0.11201442493553281</v>
      </c>
    </row>
    <row r="24" spans="1:9" x14ac:dyDescent="0.2">
      <c r="A24" s="35">
        <v>23150.720000000001</v>
      </c>
      <c r="B24" s="35">
        <v>34.621326000000003</v>
      </c>
      <c r="C24" s="35">
        <v>23325.446562500001</v>
      </c>
      <c r="D24">
        <v>34.660390999999997</v>
      </c>
      <c r="E24">
        <f t="shared" si="0"/>
        <v>3.9064999999993688E-2</v>
      </c>
      <c r="F24">
        <f t="shared" si="1"/>
        <v>0.75473489593412213</v>
      </c>
    </row>
    <row r="25" spans="1:9" x14ac:dyDescent="0.2">
      <c r="A25" s="35">
        <v>10001.84</v>
      </c>
      <c r="B25" s="35">
        <v>31.979700999999999</v>
      </c>
      <c r="C25" s="35">
        <v>10140.267734375</v>
      </c>
      <c r="D25">
        <v>32.048693</v>
      </c>
      <c r="E25">
        <f t="shared" si="0"/>
        <v>6.8992000000001497E-2</v>
      </c>
      <c r="F25">
        <f t="shared" si="1"/>
        <v>1.3840226835762219</v>
      </c>
    </row>
    <row r="26" spans="1:9" x14ac:dyDescent="0.2">
      <c r="A26" s="35">
        <v>3555.04</v>
      </c>
      <c r="B26" s="35">
        <v>29.018373</v>
      </c>
      <c r="C26" s="35">
        <v>3671.81734375</v>
      </c>
      <c r="D26">
        <v>29.115089999999999</v>
      </c>
      <c r="E26">
        <f t="shared" si="0"/>
        <v>9.6716999999998166E-2</v>
      </c>
      <c r="F26">
        <f t="shared" si="1"/>
        <v>3.2848390946374724</v>
      </c>
    </row>
    <row r="27" spans="1:9" x14ac:dyDescent="0.2">
      <c r="A27" s="35">
        <v>989.84</v>
      </c>
      <c r="B27" s="35">
        <v>26.407722</v>
      </c>
      <c r="C27" s="35">
        <v>1088.1603125000001</v>
      </c>
      <c r="D27">
        <v>26.584022999999998</v>
      </c>
      <c r="E27">
        <f t="shared" si="0"/>
        <v>0.17630099999999871</v>
      </c>
      <c r="F27">
        <f t="shared" si="1"/>
        <v>9.9329500222258247</v>
      </c>
    </row>
    <row r="28" spans="1:9" x14ac:dyDescent="0.2">
      <c r="A28" s="35">
        <v>191137.2</v>
      </c>
      <c r="B28" s="35">
        <v>42.761012999999998</v>
      </c>
      <c r="C28" s="35">
        <v>191191.34062500001</v>
      </c>
      <c r="D28">
        <v>42.769537</v>
      </c>
      <c r="E28">
        <f t="shared" si="0"/>
        <v>8.5240000000013083E-3</v>
      </c>
      <c r="F28">
        <f t="shared" si="1"/>
        <v>2.832553003810875E-2</v>
      </c>
    </row>
    <row r="29" spans="1:9" x14ac:dyDescent="0.2">
      <c r="A29" s="35">
        <v>7251.92</v>
      </c>
      <c r="B29" s="35">
        <v>42.287396999999999</v>
      </c>
      <c r="C29" s="35">
        <v>7634.0684375000001</v>
      </c>
      <c r="D29">
        <v>42.377814000000001</v>
      </c>
      <c r="E29">
        <f t="shared" si="0"/>
        <v>9.041700000000219E-2</v>
      </c>
      <c r="F29">
        <f t="shared" si="1"/>
        <v>5.2696173909805957</v>
      </c>
    </row>
    <row r="30" spans="1:9" x14ac:dyDescent="0.2">
      <c r="A30" s="35">
        <v>3638.28</v>
      </c>
      <c r="B30" s="35">
        <v>40.363397999999997</v>
      </c>
      <c r="C30" s="35">
        <v>4182.1471875000007</v>
      </c>
      <c r="D30">
        <v>40.611809999999998</v>
      </c>
      <c r="E30">
        <f t="shared" si="0"/>
        <v>0.24841200000000185</v>
      </c>
      <c r="F30">
        <f t="shared" si="1"/>
        <v>14.94846981265874</v>
      </c>
    </row>
    <row r="31" spans="1:9" x14ac:dyDescent="0.2">
      <c r="A31" s="35">
        <v>1836.4</v>
      </c>
      <c r="B31" s="35">
        <v>37.749783999999998</v>
      </c>
      <c r="C31" s="35">
        <v>2139.0953125000001</v>
      </c>
      <c r="D31">
        <v>38.096893999999999</v>
      </c>
      <c r="E31">
        <f t="shared" si="0"/>
        <v>0.3471100000000007</v>
      </c>
      <c r="F31">
        <f t="shared" si="1"/>
        <v>16.483081708778045</v>
      </c>
    </row>
    <row r="32" spans="1:9" x14ac:dyDescent="0.2">
      <c r="A32" s="35">
        <v>884.56</v>
      </c>
      <c r="B32" s="35">
        <v>34.585760000000001</v>
      </c>
      <c r="C32" s="35">
        <v>1120.0482812499999</v>
      </c>
      <c r="D32">
        <v>35.113475000000001</v>
      </c>
      <c r="E32">
        <f t="shared" si="0"/>
        <v>0.5277150000000006</v>
      </c>
      <c r="F32">
        <f t="shared" si="1"/>
        <v>26.622081175951887</v>
      </c>
    </row>
    <row r="33" spans="1:6" x14ac:dyDescent="0.2">
      <c r="A33" s="35">
        <v>388.24</v>
      </c>
      <c r="B33" s="35">
        <v>31.218382999999999</v>
      </c>
      <c r="C33" s="35">
        <v>496.34546875000001</v>
      </c>
      <c r="D33">
        <v>31.763985999999999</v>
      </c>
      <c r="E33">
        <f t="shared" si="0"/>
        <v>0.54560299999999984</v>
      </c>
      <c r="F33">
        <f t="shared" si="1"/>
        <v>27.845010496084896</v>
      </c>
    </row>
    <row r="34" spans="1:6" x14ac:dyDescent="0.2">
      <c r="A34" s="35">
        <v>19782.759999999998</v>
      </c>
      <c r="B34" s="35">
        <v>44.302816</v>
      </c>
      <c r="C34" s="35">
        <v>19950.338124999998</v>
      </c>
      <c r="D34">
        <v>44.320123000000002</v>
      </c>
      <c r="E34">
        <f t="shared" si="0"/>
        <v>1.7307000000002404E-2</v>
      </c>
      <c r="F34">
        <f t="shared" si="1"/>
        <v>0.84709173543024341</v>
      </c>
    </row>
    <row r="35" spans="1:6" x14ac:dyDescent="0.2">
      <c r="A35" s="35">
        <v>19244.04</v>
      </c>
      <c r="B35" s="35">
        <v>40.304549999999999</v>
      </c>
      <c r="C35" s="35">
        <v>19456.149375000001</v>
      </c>
      <c r="D35">
        <v>40.360793999999999</v>
      </c>
      <c r="E35">
        <f t="shared" si="0"/>
        <v>5.6243999999999517E-2</v>
      </c>
      <c r="F35">
        <f t="shared" si="1"/>
        <v>1.1022081382079854</v>
      </c>
    </row>
    <row r="36" spans="1:6" x14ac:dyDescent="0.2">
      <c r="A36" s="35">
        <v>8985.64</v>
      </c>
      <c r="B36" s="35">
        <v>37.213003</v>
      </c>
      <c r="C36" s="35">
        <v>9388.1790624999994</v>
      </c>
      <c r="D36">
        <v>37.382966000000003</v>
      </c>
      <c r="E36">
        <f t="shared" si="0"/>
        <v>0.16996300000000275</v>
      </c>
      <c r="F36">
        <f t="shared" si="1"/>
        <v>4.4798040262018066</v>
      </c>
    </row>
    <row r="37" spans="1:6" x14ac:dyDescent="0.2">
      <c r="A37" s="35">
        <v>4130.84</v>
      </c>
      <c r="B37" s="35">
        <v>33.952007000000002</v>
      </c>
      <c r="C37" s="35">
        <v>4402.5978125000001</v>
      </c>
      <c r="D37">
        <v>34.193576999999998</v>
      </c>
      <c r="E37">
        <f t="shared" si="0"/>
        <v>0.24156999999999584</v>
      </c>
      <c r="F37">
        <f t="shared" si="1"/>
        <v>6.578754260634641</v>
      </c>
    </row>
    <row r="38" spans="1:6" x14ac:dyDescent="0.2">
      <c r="A38" s="35">
        <v>1713.2</v>
      </c>
      <c r="B38" s="35">
        <v>30.596111000000001</v>
      </c>
      <c r="C38" s="35">
        <v>1867.47734375</v>
      </c>
      <c r="D38">
        <v>30.851904999999999</v>
      </c>
      <c r="E38">
        <f t="shared" si="0"/>
        <v>0.25579399999999808</v>
      </c>
      <c r="F38">
        <f t="shared" si="1"/>
        <v>9.0052150215970119</v>
      </c>
    </row>
    <row r="39" spans="1:6" x14ac:dyDescent="0.2">
      <c r="A39" s="35">
        <v>642.04</v>
      </c>
      <c r="B39" s="35">
        <v>27.532563</v>
      </c>
      <c r="C39" s="35">
        <v>829.54</v>
      </c>
      <c r="D39">
        <v>27.934868000000002</v>
      </c>
      <c r="E39">
        <f t="shared" si="0"/>
        <v>0.40230500000000191</v>
      </c>
      <c r="F39">
        <f t="shared" si="1"/>
        <v>29.203787925985921</v>
      </c>
    </row>
    <row r="40" spans="1:6" x14ac:dyDescent="0.2">
      <c r="A40" s="35">
        <v>44589.2</v>
      </c>
      <c r="B40" s="35">
        <v>43.690072999999998</v>
      </c>
      <c r="C40" s="35">
        <v>44658.809374999997</v>
      </c>
      <c r="D40">
        <v>43.703431999999999</v>
      </c>
      <c r="E40">
        <f t="shared" si="0"/>
        <v>1.3359000000001231E-2</v>
      </c>
      <c r="F40">
        <f t="shared" si="1"/>
        <v>0.15611263489813679</v>
      </c>
    </row>
    <row r="41" spans="1:6" x14ac:dyDescent="0.2">
      <c r="A41" s="35">
        <v>43049.430568999996</v>
      </c>
      <c r="B41" s="35">
        <v>40.428629999999998</v>
      </c>
      <c r="C41" s="35"/>
      <c r="D41"/>
    </row>
    <row r="42" spans="1:6" x14ac:dyDescent="0.2">
      <c r="A42" s="35">
        <v>20303.808192</v>
      </c>
      <c r="B42" s="35">
        <v>35.782055999999997</v>
      </c>
      <c r="C42" s="35"/>
      <c r="D42"/>
    </row>
    <row r="43" spans="1:6" x14ac:dyDescent="0.2">
      <c r="A43" s="35">
        <v>9873.5184819999995</v>
      </c>
      <c r="B43" s="35">
        <v>32.082912</v>
      </c>
      <c r="C43" s="35"/>
      <c r="D43"/>
    </row>
    <row r="44" spans="1:6" x14ac:dyDescent="0.2">
      <c r="A44" s="35">
        <v>4373.0829169999997</v>
      </c>
      <c r="B44" s="35">
        <v>28.375896999999998</v>
      </c>
      <c r="C44" s="35"/>
      <c r="D44"/>
    </row>
    <row r="45" spans="1:6" x14ac:dyDescent="0.2">
      <c r="A45" s="35">
        <v>1529.6703299999999</v>
      </c>
      <c r="B45" s="35">
        <v>24.696781999999999</v>
      </c>
      <c r="C45" s="35"/>
      <c r="D45"/>
    </row>
    <row r="46" spans="1:6" x14ac:dyDescent="0.2">
      <c r="A46" s="35">
        <v>77301.722278000001</v>
      </c>
      <c r="B46" s="35">
        <v>45.862958999999996</v>
      </c>
      <c r="C46" s="35"/>
      <c r="D46"/>
    </row>
    <row r="47" spans="1:6" x14ac:dyDescent="0.2">
      <c r="A47" s="35">
        <v>110471.28</v>
      </c>
      <c r="B47" s="35">
        <v>37.830587000000001</v>
      </c>
      <c r="C47" s="35"/>
      <c r="D47"/>
    </row>
    <row r="48" spans="1:6" x14ac:dyDescent="0.2">
      <c r="A48" s="35">
        <v>62585.712</v>
      </c>
      <c r="B48" s="35">
        <v>32.266078999999998</v>
      </c>
      <c r="C48" s="35"/>
      <c r="D48"/>
    </row>
    <row r="49" spans="1:4" x14ac:dyDescent="0.2">
      <c r="A49" s="35">
        <v>29000.544000000002</v>
      </c>
      <c r="B49" s="35">
        <v>27.167442999999999</v>
      </c>
      <c r="C49" s="35"/>
      <c r="D49"/>
    </row>
    <row r="50" spans="1:4" x14ac:dyDescent="0.2">
      <c r="A50" s="35">
        <v>8471.8080000000009</v>
      </c>
      <c r="B50" s="35">
        <v>22.704027</v>
      </c>
      <c r="C50" s="35"/>
      <c r="D50"/>
    </row>
    <row r="51" spans="1:4" x14ac:dyDescent="0.2">
      <c r="A51" s="35">
        <v>1293.8879999999999</v>
      </c>
      <c r="B51" s="35">
        <v>20.178684000000001</v>
      </c>
      <c r="C51" s="35"/>
      <c r="D51"/>
    </row>
    <row r="52" spans="1:4" x14ac:dyDescent="0.2">
      <c r="A52" s="35">
        <v>171871.48800000001</v>
      </c>
      <c r="B52" s="35">
        <v>43.558543</v>
      </c>
      <c r="C52" s="35"/>
      <c r="D52"/>
    </row>
    <row r="53" spans="1:4" x14ac:dyDescent="0.2">
      <c r="A53" s="35">
        <v>10064.736000000001</v>
      </c>
      <c r="B53" s="35">
        <v>45.069161000000001</v>
      </c>
      <c r="C53" s="35"/>
      <c r="D53"/>
    </row>
    <row r="54" spans="1:4" x14ac:dyDescent="0.2">
      <c r="A54" s="35">
        <v>5409.5519999999997</v>
      </c>
      <c r="B54" s="35">
        <v>41.595095999999998</v>
      </c>
      <c r="C54" s="35"/>
      <c r="D54"/>
    </row>
    <row r="55" spans="1:4" x14ac:dyDescent="0.2">
      <c r="A55" s="35">
        <v>2832.0479999999998</v>
      </c>
      <c r="B55" s="35">
        <v>37.832253000000001</v>
      </c>
      <c r="C55" s="35"/>
      <c r="D55"/>
    </row>
    <row r="56" spans="1:4" x14ac:dyDescent="0.2">
      <c r="A56" s="35">
        <v>1410.384</v>
      </c>
      <c r="B56" s="35">
        <v>34.011017000000002</v>
      </c>
      <c r="C56" s="35"/>
      <c r="D56"/>
    </row>
    <row r="57" spans="1:4" x14ac:dyDescent="0.2">
      <c r="A57" s="35">
        <v>652.03200000000004</v>
      </c>
      <c r="B57" s="35">
        <v>30.213107999999998</v>
      </c>
      <c r="C57" s="35"/>
      <c r="D57"/>
    </row>
    <row r="58" spans="1:4" x14ac:dyDescent="0.2">
      <c r="A58" s="35">
        <v>19376.64</v>
      </c>
      <c r="B58" s="35">
        <v>48.325299000000001</v>
      </c>
      <c r="C58" s="35"/>
      <c r="D58"/>
    </row>
    <row r="59" spans="1:4" x14ac:dyDescent="0.2">
      <c r="A59" s="35">
        <v>32112.047999999999</v>
      </c>
      <c r="B59" s="35">
        <v>41.185766000000001</v>
      </c>
      <c r="C59" s="35"/>
      <c r="D59"/>
    </row>
    <row r="60" spans="1:4" x14ac:dyDescent="0.2">
      <c r="A60" s="35">
        <v>16770.576000000001</v>
      </c>
      <c r="B60" s="35">
        <v>37.013911</v>
      </c>
      <c r="C60" s="35"/>
      <c r="D60"/>
    </row>
    <row r="61" spans="1:4" x14ac:dyDescent="0.2">
      <c r="A61" s="35">
        <v>8287.5360000000001</v>
      </c>
      <c r="B61" s="35">
        <v>32.991110999999997</v>
      </c>
      <c r="C61" s="35"/>
      <c r="D61"/>
    </row>
    <row r="62" spans="1:4" x14ac:dyDescent="0.2">
      <c r="A62" s="35">
        <v>3647.0880000000002</v>
      </c>
      <c r="B62" s="35">
        <v>29.077573999999998</v>
      </c>
      <c r="C62" s="35"/>
      <c r="D62"/>
    </row>
    <row r="63" spans="1:4" x14ac:dyDescent="0.2">
      <c r="A63" s="35">
        <v>1349.424</v>
      </c>
      <c r="B63" s="35">
        <v>25.546271000000001</v>
      </c>
      <c r="C63" s="35"/>
      <c r="D63"/>
    </row>
    <row r="64" spans="1:4" x14ac:dyDescent="0.2">
      <c r="A64" s="35">
        <v>59637.84</v>
      </c>
      <c r="B64" s="35">
        <v>45.565579</v>
      </c>
      <c r="C64" s="35"/>
      <c r="D64"/>
    </row>
    <row r="65" spans="1:4" x14ac:dyDescent="0.2">
      <c r="A65" s="24"/>
      <c r="B65" s="23"/>
      <c r="C65" s="24"/>
      <c r="D65" s="23"/>
    </row>
    <row r="66" spans="1:4" x14ac:dyDescent="0.2">
      <c r="A66" s="24"/>
      <c r="B66" s="23"/>
      <c r="C66" s="24"/>
      <c r="D66" s="23"/>
    </row>
    <row r="67" spans="1:4" x14ac:dyDescent="0.2">
      <c r="A67" s="24"/>
      <c r="B67" s="23"/>
      <c r="C67" s="24"/>
      <c r="D67" s="23"/>
    </row>
    <row r="68" spans="1:4" x14ac:dyDescent="0.2">
      <c r="A68" s="24"/>
      <c r="B68" s="23"/>
      <c r="C68" s="24"/>
      <c r="D68" s="23"/>
    </row>
    <row r="69" spans="1:4" x14ac:dyDescent="0.2">
      <c r="A69" s="24"/>
      <c r="B69" s="23"/>
      <c r="C69" s="24"/>
      <c r="D69" s="23"/>
    </row>
    <row r="70" spans="1:4" x14ac:dyDescent="0.2">
      <c r="A70" s="24"/>
      <c r="B70" s="23"/>
      <c r="C70" s="24"/>
      <c r="D70" s="23"/>
    </row>
    <row r="71" spans="1:4" x14ac:dyDescent="0.2">
      <c r="A71" s="24"/>
      <c r="B71" s="23"/>
      <c r="C71" s="24"/>
      <c r="D71" s="23"/>
    </row>
    <row r="72" spans="1:4" x14ac:dyDescent="0.2">
      <c r="A72" s="24"/>
      <c r="B72" s="23"/>
      <c r="C72" s="24"/>
      <c r="D72" s="23"/>
    </row>
    <row r="73" spans="1:4" x14ac:dyDescent="0.2">
      <c r="A73" s="24"/>
      <c r="B73" s="23"/>
      <c r="C73" s="24"/>
      <c r="D73" s="23"/>
    </row>
    <row r="74" spans="1:4" x14ac:dyDescent="0.2">
      <c r="A74" s="24"/>
      <c r="B74" s="23"/>
      <c r="C74" s="24"/>
      <c r="D74" s="23"/>
    </row>
    <row r="75" spans="1:4" x14ac:dyDescent="0.2">
      <c r="A75" s="24"/>
      <c r="B75" s="23"/>
      <c r="C75" s="24"/>
      <c r="D75" s="23"/>
    </row>
    <row r="76" spans="1:4" x14ac:dyDescent="0.2">
      <c r="A76" s="24"/>
      <c r="B76" s="23"/>
      <c r="C76" s="24"/>
      <c r="D76" s="23"/>
    </row>
    <row r="77" spans="1:4" x14ac:dyDescent="0.2">
      <c r="A77" s="24"/>
      <c r="B77" s="23"/>
      <c r="C77" s="24"/>
      <c r="D77" s="23"/>
    </row>
    <row r="78" spans="1:4" x14ac:dyDescent="0.2">
      <c r="A78" s="24"/>
      <c r="B78" s="23"/>
      <c r="C78" s="24"/>
      <c r="D78" s="23"/>
    </row>
    <row r="79" spans="1:4" x14ac:dyDescent="0.2">
      <c r="A79" s="24"/>
      <c r="B79" s="23"/>
      <c r="C79" s="24"/>
      <c r="D79" s="23"/>
    </row>
    <row r="80" spans="1:4" x14ac:dyDescent="0.2">
      <c r="A80" s="24"/>
      <c r="B80" s="23"/>
      <c r="C80" s="24"/>
      <c r="D80" s="23"/>
    </row>
    <row r="81" spans="1:4" x14ac:dyDescent="0.2">
      <c r="A81" s="24"/>
      <c r="B81" s="23"/>
      <c r="C81" s="24"/>
      <c r="D81" s="23"/>
    </row>
    <row r="82" spans="1:4" x14ac:dyDescent="0.2">
      <c r="A82" s="24"/>
      <c r="B82" s="23"/>
      <c r="C82" s="24"/>
      <c r="D82" s="23"/>
    </row>
    <row r="83" spans="1:4" x14ac:dyDescent="0.2">
      <c r="A83" s="24"/>
      <c r="B83" s="23"/>
      <c r="C83" s="24"/>
      <c r="D83" s="23"/>
    </row>
    <row r="84" spans="1:4" x14ac:dyDescent="0.2">
      <c r="A84" s="24"/>
      <c r="B84" s="23"/>
      <c r="C84" s="24"/>
      <c r="D84" s="23"/>
    </row>
    <row r="85" spans="1:4" x14ac:dyDescent="0.2">
      <c r="A85" s="24"/>
      <c r="B85" s="23"/>
      <c r="C85" s="24"/>
      <c r="D85" s="23"/>
    </row>
    <row r="86" spans="1:4" x14ac:dyDescent="0.2">
      <c r="A86" s="24"/>
      <c r="B86" s="23"/>
      <c r="C86" s="24"/>
      <c r="D86" s="23"/>
    </row>
    <row r="87" spans="1:4" x14ac:dyDescent="0.2">
      <c r="A87" s="24"/>
      <c r="B87" s="23"/>
      <c r="C87" s="24"/>
      <c r="D87" s="23"/>
    </row>
    <row r="88" spans="1:4" x14ac:dyDescent="0.2">
      <c r="A88" s="24"/>
      <c r="B88" s="23"/>
      <c r="C88" s="24"/>
      <c r="D88" s="23"/>
    </row>
    <row r="89" spans="1:4" x14ac:dyDescent="0.2">
      <c r="A89" s="24"/>
      <c r="B89" s="23"/>
      <c r="C89" s="24"/>
      <c r="D89" s="23"/>
    </row>
    <row r="90" spans="1:4" x14ac:dyDescent="0.2">
      <c r="A90" s="24"/>
      <c r="B90" s="23"/>
      <c r="C90" s="24"/>
      <c r="D90" s="23"/>
    </row>
    <row r="91" spans="1:4" x14ac:dyDescent="0.2">
      <c r="A91" s="24"/>
      <c r="B91" s="23"/>
      <c r="C91" s="24"/>
      <c r="D91" s="23"/>
    </row>
    <row r="92" spans="1:4" x14ac:dyDescent="0.2">
      <c r="A92" s="24"/>
      <c r="B92" s="23"/>
      <c r="C92" s="24"/>
      <c r="D92" s="23"/>
    </row>
    <row r="93" spans="1:4" x14ac:dyDescent="0.2">
      <c r="A93" s="24"/>
      <c r="B93" s="23"/>
      <c r="C93" s="24"/>
      <c r="D93" s="23"/>
    </row>
    <row r="94" spans="1:4" x14ac:dyDescent="0.2">
      <c r="A94" s="24"/>
      <c r="B94" s="23"/>
      <c r="C94" s="24"/>
      <c r="D94" s="23"/>
    </row>
    <row r="95" spans="1:4" x14ac:dyDescent="0.2">
      <c r="A95" s="24"/>
      <c r="B95" s="23"/>
      <c r="C95" s="24"/>
      <c r="D95" s="23"/>
    </row>
    <row r="96" spans="1:4" x14ac:dyDescent="0.2">
      <c r="A96" s="24"/>
      <c r="B96" s="23"/>
      <c r="C96" s="24"/>
      <c r="D96" s="23"/>
    </row>
    <row r="97" spans="1:4" x14ac:dyDescent="0.2">
      <c r="A97" s="24"/>
      <c r="B97" s="23"/>
      <c r="C97" s="24"/>
      <c r="D97" s="23"/>
    </row>
    <row r="98" spans="1:4" x14ac:dyDescent="0.2">
      <c r="A98" s="24"/>
      <c r="B98" s="23"/>
      <c r="C98" s="24"/>
      <c r="D98" s="23"/>
    </row>
    <row r="99" spans="1:4" x14ac:dyDescent="0.2">
      <c r="A99" s="24"/>
      <c r="B99" s="23"/>
      <c r="C99" s="24"/>
      <c r="D99" s="23"/>
    </row>
    <row r="100" spans="1:4" x14ac:dyDescent="0.2">
      <c r="A100" s="24"/>
      <c r="B100" s="23"/>
      <c r="C100" s="24"/>
      <c r="D100" s="23"/>
    </row>
    <row r="101" spans="1:4" x14ac:dyDescent="0.2">
      <c r="A101" s="24"/>
      <c r="B101" s="23"/>
      <c r="C101" s="24"/>
      <c r="D101" s="23"/>
    </row>
    <row r="102" spans="1:4" x14ac:dyDescent="0.2">
      <c r="A102" s="24"/>
      <c r="B102" s="23"/>
      <c r="C102" s="24"/>
      <c r="D102" s="23"/>
    </row>
  </sheetData>
  <mergeCells count="2">
    <mergeCell ref="A3:B3"/>
    <mergeCell ref="C3:D3"/>
  </mergeCells>
  <pageMargins left="0.7" right="0.7" top="0.75" bottom="0.75" header="0.3" footer="0.3"/>
  <pageSetup paperSize="9" orientation="portrait" horizontalDpi="1200" verticalDpi="12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22FDC-6E03-9543-89C3-7F954A196C39}">
  <sheetPr codeName="Sheet4"/>
  <dimension ref="A1:N102"/>
  <sheetViews>
    <sheetView zoomScale="130" zoomScaleNormal="130" workbookViewId="0">
      <selection activeCell="N5" sqref="N5"/>
    </sheetView>
  </sheetViews>
  <sheetFormatPr baseColWidth="10" defaultColWidth="8.83203125" defaultRowHeight="15" x14ac:dyDescent="0.2"/>
  <cols>
    <col min="1" max="1" width="10" bestFit="1" customWidth="1"/>
    <col min="2" max="2" width="8" style="25" bestFit="1" customWidth="1"/>
    <col min="3" max="3" width="10" bestFit="1" customWidth="1"/>
    <col min="4" max="4" width="8" style="25" bestFit="1" customWidth="1"/>
    <col min="5" max="5" width="11.83203125" bestFit="1" customWidth="1"/>
    <col min="6" max="6" width="9.83203125" bestFit="1" customWidth="1"/>
    <col min="7" max="7" width="10.5" bestFit="1" customWidth="1"/>
    <col min="8" max="8" width="9" bestFit="1" customWidth="1"/>
    <col min="12" max="12" width="17" customWidth="1"/>
    <col min="13" max="13" width="10.5" bestFit="1" customWidth="1"/>
  </cols>
  <sheetData>
    <row r="1" spans="1:14" x14ac:dyDescent="0.2">
      <c r="A1" s="1" t="s">
        <v>14</v>
      </c>
      <c r="L1" s="1" t="s">
        <v>15</v>
      </c>
    </row>
    <row r="2" spans="1:14" ht="16" thickBot="1" x14ac:dyDescent="0.25"/>
    <row r="3" spans="1:14" x14ac:dyDescent="0.2">
      <c r="A3" s="42" t="s">
        <v>49</v>
      </c>
      <c r="B3" s="43"/>
      <c r="C3" s="42" t="s">
        <v>10</v>
      </c>
      <c r="D3" s="43"/>
      <c r="E3" s="11" t="s">
        <v>45</v>
      </c>
      <c r="F3" s="12" t="s">
        <v>44</v>
      </c>
      <c r="G3" s="11" t="s">
        <v>42</v>
      </c>
      <c r="H3" s="13" t="s">
        <v>43</v>
      </c>
      <c r="I3" s="14"/>
      <c r="J3" s="15"/>
      <c r="L3" s="26" t="s">
        <v>13</v>
      </c>
      <c r="M3" s="27" t="s">
        <v>45</v>
      </c>
      <c r="N3" s="28" t="s">
        <v>44</v>
      </c>
    </row>
    <row r="4" spans="1:14" ht="17" thickBot="1" x14ac:dyDescent="0.25">
      <c r="A4" s="39" t="s">
        <v>11</v>
      </c>
      <c r="B4" s="38" t="s">
        <v>48</v>
      </c>
      <c r="C4" s="2" t="s">
        <v>11</v>
      </c>
      <c r="D4" s="38" t="s">
        <v>48</v>
      </c>
      <c r="E4" s="29">
        <v>0.80071318397395785</v>
      </c>
      <c r="F4" s="30">
        <v>-13.261772993093556</v>
      </c>
      <c r="G4" s="19">
        <v>4</v>
      </c>
      <c r="H4" s="20">
        <v>4</v>
      </c>
      <c r="I4" s="21" t="str">
        <f>A3</f>
        <v>anchor</v>
      </c>
      <c r="L4" s="34"/>
      <c r="M4" s="31" cm="1">
        <f t="array" ref="M4">BDSNR(A5:A8,B5:B8,C5:C8,D5:D8)</f>
        <v>0.93980935485412931</v>
      </c>
      <c r="N4" s="32" cm="1">
        <f t="array" ref="N4">BDBR(A5:A40,B5:B40,C5:C40,D5:D40)</f>
        <v>2.4536234598227846</v>
      </c>
    </row>
    <row r="5" spans="1:14" x14ac:dyDescent="0.2">
      <c r="A5" s="35">
        <v>117300.56</v>
      </c>
      <c r="B5" s="35">
        <v>98.678254999999993</v>
      </c>
      <c r="C5" s="35">
        <v>117410.013125</v>
      </c>
      <c r="D5">
        <v>98.705509000000006</v>
      </c>
      <c r="G5" s="19">
        <v>4</v>
      </c>
      <c r="H5" s="20">
        <v>4</v>
      </c>
      <c r="I5" s="22" t="str">
        <f>C3</f>
        <v>Curve2</v>
      </c>
    </row>
    <row r="6" spans="1:14" x14ac:dyDescent="0.2">
      <c r="A6" s="35">
        <v>57059.28</v>
      </c>
      <c r="B6" s="35">
        <v>92.075226999999998</v>
      </c>
      <c r="C6" s="35">
        <v>57295.295624999999</v>
      </c>
      <c r="D6">
        <v>92.694137999999995</v>
      </c>
    </row>
    <row r="7" spans="1:14" x14ac:dyDescent="0.2">
      <c r="A7" s="35">
        <v>25459.200000000001</v>
      </c>
      <c r="B7" s="35">
        <v>74.971254999999999</v>
      </c>
      <c r="C7" s="35">
        <v>25622.237109375001</v>
      </c>
      <c r="D7">
        <v>76.467302000000004</v>
      </c>
    </row>
    <row r="8" spans="1:14" x14ac:dyDescent="0.2">
      <c r="A8" s="35">
        <v>9662.7199999999993</v>
      </c>
      <c r="B8" s="35">
        <v>47.660854</v>
      </c>
      <c r="C8" s="35">
        <v>9787.4660937499993</v>
      </c>
      <c r="D8">
        <v>49.266202999999997</v>
      </c>
    </row>
    <row r="9" spans="1:14" x14ac:dyDescent="0.2">
      <c r="A9" s="35">
        <v>2918.16</v>
      </c>
      <c r="B9" s="35">
        <v>17.945459</v>
      </c>
      <c r="C9" s="35">
        <v>3051.5193749999999</v>
      </c>
      <c r="D9">
        <v>18.567878</v>
      </c>
    </row>
    <row r="10" spans="1:14" x14ac:dyDescent="0.2">
      <c r="A10" s="35">
        <v>232951.92</v>
      </c>
      <c r="B10" s="35">
        <v>99.215048999999993</v>
      </c>
      <c r="C10" s="35">
        <v>233009.10750000001</v>
      </c>
      <c r="D10">
        <v>99.215508</v>
      </c>
    </row>
    <row r="11" spans="1:14" x14ac:dyDescent="0.2">
      <c r="A11" s="35">
        <v>50229.696000000004</v>
      </c>
      <c r="B11" s="35">
        <v>98.679517000000004</v>
      </c>
      <c r="C11" s="35">
        <v>50607.742875000004</v>
      </c>
      <c r="D11">
        <v>98.766013000000001</v>
      </c>
    </row>
    <row r="12" spans="1:14" x14ac:dyDescent="0.2">
      <c r="A12" s="35">
        <v>27712.511999999999</v>
      </c>
      <c r="B12" s="35">
        <v>97.306748999999996</v>
      </c>
      <c r="C12" s="35">
        <v>28176.222937499999</v>
      </c>
      <c r="D12">
        <v>97.550562999999997</v>
      </c>
    </row>
    <row r="13" spans="1:14" x14ac:dyDescent="0.2">
      <c r="A13" s="35">
        <v>13484.64</v>
      </c>
      <c r="B13" s="35">
        <v>86.063227999999995</v>
      </c>
      <c r="C13" s="35">
        <v>13718.780624999999</v>
      </c>
      <c r="D13">
        <v>88.392770999999996</v>
      </c>
    </row>
    <row r="14" spans="1:14" x14ac:dyDescent="0.2">
      <c r="A14" s="35">
        <v>5052.3360000000002</v>
      </c>
      <c r="B14" s="35">
        <v>61.086404999999999</v>
      </c>
      <c r="C14" s="35">
        <v>5199.4063125000002</v>
      </c>
      <c r="D14">
        <v>63.151471999999998</v>
      </c>
    </row>
    <row r="15" spans="1:14" x14ac:dyDescent="0.2">
      <c r="A15" s="35">
        <v>1523.28</v>
      </c>
      <c r="B15" s="35">
        <v>31.574128999999999</v>
      </c>
      <c r="C15" s="35">
        <v>1633.201875</v>
      </c>
      <c r="D15">
        <v>32.619708000000003</v>
      </c>
    </row>
    <row r="16" spans="1:14" x14ac:dyDescent="0.2">
      <c r="A16" s="35">
        <v>83669.135999999999</v>
      </c>
      <c r="B16" s="35">
        <v>99.217461999999998</v>
      </c>
      <c r="C16" s="35">
        <v>83908.432874999999</v>
      </c>
      <c r="D16">
        <v>99.217912999999996</v>
      </c>
    </row>
    <row r="17" spans="1:4" x14ac:dyDescent="0.2">
      <c r="A17" s="35">
        <v>49985.52</v>
      </c>
      <c r="B17" s="35">
        <v>95.535150999999999</v>
      </c>
      <c r="C17" s="35">
        <v>50265.246562499997</v>
      </c>
      <c r="D17">
        <v>95.748498999999995</v>
      </c>
    </row>
    <row r="18" spans="1:4" x14ac:dyDescent="0.2">
      <c r="A18" s="35">
        <v>26415.216</v>
      </c>
      <c r="B18" s="35">
        <v>90.578175000000002</v>
      </c>
      <c r="C18" s="35">
        <v>26783.0675625</v>
      </c>
      <c r="D18">
        <v>91.204203000000007</v>
      </c>
    </row>
    <row r="19" spans="1:4" x14ac:dyDescent="0.2">
      <c r="A19" s="35">
        <v>12322.368</v>
      </c>
      <c r="B19" s="35">
        <v>75.830709999999996</v>
      </c>
      <c r="C19" s="35">
        <v>12524.780109375</v>
      </c>
      <c r="D19">
        <v>77.863676999999996</v>
      </c>
    </row>
    <row r="20" spans="1:4" x14ac:dyDescent="0.2">
      <c r="A20" s="35">
        <v>4441.1040000000003</v>
      </c>
      <c r="B20" s="35">
        <v>48.871870999999999</v>
      </c>
      <c r="C20" s="35">
        <v>4564.3266562500003</v>
      </c>
      <c r="D20">
        <v>50.520977999999999</v>
      </c>
    </row>
    <row r="21" spans="1:4" x14ac:dyDescent="0.2">
      <c r="A21" s="35">
        <v>1200.72</v>
      </c>
      <c r="B21" s="35">
        <v>22.405899000000002</v>
      </c>
      <c r="C21" s="35">
        <v>1335.25125</v>
      </c>
      <c r="D21">
        <v>22.936776999999999</v>
      </c>
    </row>
    <row r="22" spans="1:4" x14ac:dyDescent="0.2">
      <c r="A22" s="35">
        <v>86414.111999999994</v>
      </c>
      <c r="B22" s="35">
        <v>97.539433000000002</v>
      </c>
      <c r="C22" s="35">
        <v>86603.838562499994</v>
      </c>
      <c r="D22">
        <v>97.542163000000002</v>
      </c>
    </row>
    <row r="23" spans="1:4" x14ac:dyDescent="0.2">
      <c r="A23" s="35">
        <v>56493.84</v>
      </c>
      <c r="B23" s="35">
        <v>94.359318999999999</v>
      </c>
      <c r="C23" s="35">
        <v>56557.121249999997</v>
      </c>
      <c r="D23">
        <v>94.428379000000007</v>
      </c>
    </row>
    <row r="24" spans="1:4" x14ac:dyDescent="0.2">
      <c r="A24" s="35">
        <v>23150.720000000001</v>
      </c>
      <c r="B24" s="35">
        <v>85.962964999999997</v>
      </c>
      <c r="C24" s="35">
        <v>23325.446562500001</v>
      </c>
      <c r="D24">
        <v>86.521282999999997</v>
      </c>
    </row>
    <row r="25" spans="1:4" x14ac:dyDescent="0.2">
      <c r="A25" s="35">
        <v>10001.84</v>
      </c>
      <c r="B25" s="35">
        <v>67.699421999999998</v>
      </c>
      <c r="C25" s="35">
        <v>10140.267734375</v>
      </c>
      <c r="D25">
        <v>69.185434999999998</v>
      </c>
    </row>
    <row r="26" spans="1:4" x14ac:dyDescent="0.2">
      <c r="A26" s="35">
        <v>3555.04</v>
      </c>
      <c r="B26" s="35">
        <v>38.786468999999997</v>
      </c>
      <c r="C26" s="35">
        <v>3671.81734375</v>
      </c>
      <c r="D26">
        <v>40.231973000000004</v>
      </c>
    </row>
    <row r="27" spans="1:4" x14ac:dyDescent="0.2">
      <c r="A27" s="35">
        <v>989.84</v>
      </c>
      <c r="B27" s="35">
        <v>8.1475080000000002</v>
      </c>
      <c r="C27" s="35">
        <v>1088.1603125000001</v>
      </c>
      <c r="D27">
        <v>8.8266980000000004</v>
      </c>
    </row>
    <row r="28" spans="1:4" x14ac:dyDescent="0.2">
      <c r="A28" s="35">
        <v>191137.2</v>
      </c>
      <c r="B28" s="35">
        <v>98.019908999999998</v>
      </c>
      <c r="C28" s="35">
        <v>191191.34062500001</v>
      </c>
      <c r="D28">
        <v>98.021080999999995</v>
      </c>
    </row>
    <row r="29" spans="1:4" x14ac:dyDescent="0.2">
      <c r="A29" s="35">
        <v>7251.92</v>
      </c>
      <c r="B29" s="35">
        <v>98.162992000000003</v>
      </c>
      <c r="C29" s="35">
        <v>7634.0684375000001</v>
      </c>
      <c r="D29">
        <v>98.275513000000004</v>
      </c>
    </row>
    <row r="30" spans="1:4" x14ac:dyDescent="0.2">
      <c r="A30" s="35">
        <v>3638.28</v>
      </c>
      <c r="B30" s="35">
        <v>92.936910999999995</v>
      </c>
      <c r="C30" s="35">
        <v>4182.1471875000007</v>
      </c>
      <c r="D30">
        <v>94.958716999999993</v>
      </c>
    </row>
    <row r="31" spans="1:4" x14ac:dyDescent="0.2">
      <c r="A31" s="35">
        <v>1836.4</v>
      </c>
      <c r="B31" s="35">
        <v>78.230067000000005</v>
      </c>
      <c r="C31" s="35">
        <v>2139.0953125000001</v>
      </c>
      <c r="D31">
        <v>82.219212999999996</v>
      </c>
    </row>
    <row r="32" spans="1:4" x14ac:dyDescent="0.2">
      <c r="A32" s="35">
        <v>884.56</v>
      </c>
      <c r="B32" s="35">
        <v>54.409880999999999</v>
      </c>
      <c r="C32" s="35">
        <v>1120.0482812499999</v>
      </c>
      <c r="D32">
        <v>59.423910999999997</v>
      </c>
    </row>
    <row r="33" spans="1:4" x14ac:dyDescent="0.2">
      <c r="A33" s="35">
        <v>388.24</v>
      </c>
      <c r="B33" s="35">
        <v>29.155079000000001</v>
      </c>
      <c r="C33" s="35">
        <v>496.34546875000001</v>
      </c>
      <c r="D33">
        <v>32.128211999999998</v>
      </c>
    </row>
    <row r="34" spans="1:4" x14ac:dyDescent="0.2">
      <c r="A34" s="35">
        <v>19782.759999999998</v>
      </c>
      <c r="B34" s="35">
        <v>98.895495999999994</v>
      </c>
      <c r="C34" s="35">
        <v>19950.338124999998</v>
      </c>
      <c r="D34">
        <v>98.896099000000007</v>
      </c>
    </row>
    <row r="35" spans="1:4" x14ac:dyDescent="0.2">
      <c r="A35" s="35">
        <v>19244.04</v>
      </c>
      <c r="B35" s="35">
        <v>97.929670999999999</v>
      </c>
      <c r="C35" s="35">
        <v>19456.149375000001</v>
      </c>
      <c r="D35">
        <v>98.005798999999996</v>
      </c>
    </row>
    <row r="36" spans="1:4" x14ac:dyDescent="0.2">
      <c r="A36" s="35">
        <v>8985.64</v>
      </c>
      <c r="B36" s="35">
        <v>93.680454999999995</v>
      </c>
      <c r="C36" s="35">
        <v>9388.1790624999994</v>
      </c>
      <c r="D36">
        <v>95.181814000000003</v>
      </c>
    </row>
    <row r="37" spans="1:4" x14ac:dyDescent="0.2">
      <c r="A37" s="35">
        <v>4130.84</v>
      </c>
      <c r="B37" s="35">
        <v>73.100323000000003</v>
      </c>
      <c r="C37" s="35">
        <v>4402.5978125000001</v>
      </c>
      <c r="D37">
        <v>76.143311999999995</v>
      </c>
    </row>
    <row r="38" spans="1:4" x14ac:dyDescent="0.2">
      <c r="A38" s="35">
        <v>1713.2</v>
      </c>
      <c r="B38" s="35">
        <v>44.979525000000002</v>
      </c>
      <c r="C38" s="35">
        <v>1867.47734375</v>
      </c>
      <c r="D38">
        <v>47.640442999999998</v>
      </c>
    </row>
    <row r="39" spans="1:4" x14ac:dyDescent="0.2">
      <c r="A39" s="35">
        <v>642.04</v>
      </c>
      <c r="B39" s="35">
        <v>23.547694</v>
      </c>
      <c r="C39" s="35">
        <v>829.54</v>
      </c>
      <c r="D39">
        <v>24.63926</v>
      </c>
    </row>
    <row r="40" spans="1:4" x14ac:dyDescent="0.2">
      <c r="A40" s="35">
        <v>44589.2</v>
      </c>
      <c r="B40" s="35">
        <v>98.898347000000001</v>
      </c>
      <c r="C40" s="35">
        <v>44658.809374999997</v>
      </c>
      <c r="D40">
        <v>98.899040999999997</v>
      </c>
    </row>
    <row r="41" spans="1:4" x14ac:dyDescent="0.2">
      <c r="A41" s="35">
        <v>43049.430568999996</v>
      </c>
      <c r="B41" s="35">
        <v>97.254704000000004</v>
      </c>
      <c r="C41" s="35">
        <v>43553.483303374996</v>
      </c>
      <c r="D41"/>
    </row>
    <row r="42" spans="1:4" x14ac:dyDescent="0.2">
      <c r="A42" s="35">
        <v>20303.808192</v>
      </c>
      <c r="B42" s="35">
        <v>89.153312999999997</v>
      </c>
      <c r="C42" s="35">
        <v>21043.407801375</v>
      </c>
      <c r="D42"/>
    </row>
    <row r="43" spans="1:4" x14ac:dyDescent="0.2">
      <c r="A43" s="35">
        <v>9873.5184819999995</v>
      </c>
      <c r="B43" s="35">
        <v>73.081926999999993</v>
      </c>
      <c r="C43" s="35">
        <v>10385.041919499999</v>
      </c>
      <c r="D43"/>
    </row>
    <row r="44" spans="1:4" x14ac:dyDescent="0.2">
      <c r="A44" s="35">
        <v>4373.0829169999997</v>
      </c>
      <c r="B44" s="35">
        <v>49.103800999999997</v>
      </c>
      <c r="C44" s="35">
        <v>4482.9461982499997</v>
      </c>
      <c r="D44"/>
    </row>
    <row r="45" spans="1:4" x14ac:dyDescent="0.2">
      <c r="A45" s="35">
        <v>1529.6703299999999</v>
      </c>
      <c r="B45" s="35">
        <v>23.878511</v>
      </c>
      <c r="C45" s="35">
        <v>1652.0140799999999</v>
      </c>
      <c r="D45"/>
    </row>
    <row r="46" spans="1:4" x14ac:dyDescent="0.2">
      <c r="A46" s="35">
        <v>77301.722278000001</v>
      </c>
      <c r="B46" s="35">
        <v>99.213196999999994</v>
      </c>
      <c r="C46" s="35">
        <v>77765.784778000001</v>
      </c>
      <c r="D46"/>
    </row>
    <row r="47" spans="1:4" x14ac:dyDescent="0.2">
      <c r="A47" s="35">
        <v>110471.28</v>
      </c>
      <c r="B47" s="35">
        <v>98.738474999999994</v>
      </c>
      <c r="C47" s="35">
        <v>110707.852265625</v>
      </c>
      <c r="D47"/>
    </row>
    <row r="48" spans="1:4" x14ac:dyDescent="0.2">
      <c r="A48" s="35">
        <v>62585.712</v>
      </c>
      <c r="B48" s="35">
        <v>97.299532999999997</v>
      </c>
      <c r="C48" s="35">
        <v>62826.5323125</v>
      </c>
      <c r="D48"/>
    </row>
    <row r="49" spans="1:4" x14ac:dyDescent="0.2">
      <c r="A49" s="35">
        <v>29000.544000000002</v>
      </c>
      <c r="B49" s="35">
        <v>85.759257000000005</v>
      </c>
      <c r="C49" s="35">
        <v>29173.629937500002</v>
      </c>
      <c r="D49"/>
    </row>
    <row r="50" spans="1:4" x14ac:dyDescent="0.2">
      <c r="A50" s="35">
        <v>8471.8080000000009</v>
      </c>
      <c r="B50" s="35">
        <v>56.348545999999999</v>
      </c>
      <c r="C50" s="35">
        <v>8528.2337812500009</v>
      </c>
      <c r="D50"/>
    </row>
    <row r="51" spans="1:4" x14ac:dyDescent="0.2">
      <c r="A51" s="35">
        <v>1293.8879999999999</v>
      </c>
      <c r="B51" s="35">
        <v>32.966847999999999</v>
      </c>
      <c r="C51" s="35">
        <v>1385.1770624999999</v>
      </c>
      <c r="D51"/>
    </row>
    <row r="52" spans="1:4" x14ac:dyDescent="0.2">
      <c r="A52" s="35">
        <v>171871.48800000001</v>
      </c>
      <c r="B52" s="35">
        <v>99.213528999999994</v>
      </c>
      <c r="C52" s="35">
        <v>172101.02901562501</v>
      </c>
      <c r="D52"/>
    </row>
    <row r="53" spans="1:4" x14ac:dyDescent="0.2">
      <c r="A53" s="35">
        <v>10064.736000000001</v>
      </c>
      <c r="B53" s="35">
        <v>98.668380999999997</v>
      </c>
      <c r="C53" s="35">
        <v>10856.044593750001</v>
      </c>
      <c r="D53"/>
    </row>
    <row r="54" spans="1:4" x14ac:dyDescent="0.2">
      <c r="A54" s="35">
        <v>5409.5519999999997</v>
      </c>
      <c r="B54" s="35">
        <v>94.84308</v>
      </c>
      <c r="C54" s="35">
        <v>6079.1320781249997</v>
      </c>
      <c r="D54"/>
    </row>
    <row r="55" spans="1:4" x14ac:dyDescent="0.2">
      <c r="A55" s="35">
        <v>2832.0479999999998</v>
      </c>
      <c r="B55" s="35">
        <v>82.229782</v>
      </c>
      <c r="C55" s="35">
        <v>3298.8058124999998</v>
      </c>
      <c r="D55"/>
    </row>
    <row r="56" spans="1:4" x14ac:dyDescent="0.2">
      <c r="A56" s="35">
        <v>1410.384</v>
      </c>
      <c r="B56" s="35">
        <v>62.598353000000003</v>
      </c>
      <c r="C56" s="35">
        <v>1540.3449375</v>
      </c>
      <c r="D56"/>
    </row>
    <row r="57" spans="1:4" x14ac:dyDescent="0.2">
      <c r="A57" s="35">
        <v>652.03200000000004</v>
      </c>
      <c r="B57" s="35">
        <v>37.838622000000001</v>
      </c>
      <c r="C57" s="35">
        <v>758.67262500000004</v>
      </c>
      <c r="D57"/>
    </row>
    <row r="58" spans="1:4" x14ac:dyDescent="0.2">
      <c r="A58" s="35">
        <v>19376.64</v>
      </c>
      <c r="B58" s="35">
        <v>99.186716000000004</v>
      </c>
      <c r="C58" s="35">
        <v>20151.249374999999</v>
      </c>
      <c r="D58"/>
    </row>
    <row r="59" spans="1:4" x14ac:dyDescent="0.2">
      <c r="A59" s="35">
        <v>32112.047999999999</v>
      </c>
      <c r="B59" s="35">
        <v>98.674065999999996</v>
      </c>
      <c r="C59" s="35">
        <v>32667.663234374999</v>
      </c>
      <c r="D59"/>
    </row>
    <row r="60" spans="1:4" x14ac:dyDescent="0.2">
      <c r="A60" s="35">
        <v>16770.576000000001</v>
      </c>
      <c r="B60" s="35">
        <v>94.460768999999999</v>
      </c>
      <c r="C60" s="35">
        <v>17372.187328125001</v>
      </c>
      <c r="D60"/>
    </row>
    <row r="61" spans="1:4" x14ac:dyDescent="0.2">
      <c r="A61" s="35">
        <v>8287.5360000000001</v>
      </c>
      <c r="B61" s="35">
        <v>79.354810000000001</v>
      </c>
      <c r="C61" s="35">
        <v>8710.2313125000001</v>
      </c>
      <c r="D61"/>
    </row>
    <row r="62" spans="1:4" x14ac:dyDescent="0.2">
      <c r="A62" s="35">
        <v>3647.0880000000002</v>
      </c>
      <c r="B62" s="35">
        <v>54.310111999999997</v>
      </c>
      <c r="C62" s="35">
        <v>3763.5723750000002</v>
      </c>
      <c r="D62"/>
    </row>
    <row r="63" spans="1:4" x14ac:dyDescent="0.2">
      <c r="A63" s="35">
        <v>1349.424</v>
      </c>
      <c r="B63" s="35">
        <v>26.115998999999999</v>
      </c>
      <c r="C63" s="35">
        <v>1488.2911875</v>
      </c>
      <c r="D63"/>
    </row>
    <row r="64" spans="1:4" x14ac:dyDescent="0.2">
      <c r="A64" s="35">
        <v>59637.84</v>
      </c>
      <c r="B64" s="35">
        <v>99.196426000000002</v>
      </c>
      <c r="C64" s="35">
        <v>60071.580234374997</v>
      </c>
      <c r="D64"/>
    </row>
    <row r="65" spans="1:4" x14ac:dyDescent="0.2">
      <c r="A65" s="24"/>
      <c r="B65" s="23"/>
      <c r="C65" s="24"/>
      <c r="D65" s="23"/>
    </row>
    <row r="66" spans="1:4" x14ac:dyDescent="0.2">
      <c r="A66" s="24"/>
      <c r="B66" s="23"/>
      <c r="C66" s="24"/>
      <c r="D66" s="23"/>
    </row>
    <row r="67" spans="1:4" x14ac:dyDescent="0.2">
      <c r="A67" s="24"/>
      <c r="B67" s="23"/>
      <c r="C67" s="24"/>
      <c r="D67" s="23"/>
    </row>
    <row r="68" spans="1:4" x14ac:dyDescent="0.2">
      <c r="A68" s="24"/>
      <c r="B68" s="23"/>
      <c r="C68" s="24"/>
      <c r="D68" s="23"/>
    </row>
    <row r="69" spans="1:4" x14ac:dyDescent="0.2">
      <c r="A69" s="24"/>
      <c r="B69" s="23"/>
      <c r="C69" s="24"/>
      <c r="D69" s="23"/>
    </row>
    <row r="70" spans="1:4" x14ac:dyDescent="0.2">
      <c r="A70" s="24"/>
      <c r="B70" s="23"/>
      <c r="C70" s="24"/>
      <c r="D70" s="23"/>
    </row>
    <row r="71" spans="1:4" x14ac:dyDescent="0.2">
      <c r="A71" s="24"/>
      <c r="B71" s="23"/>
      <c r="C71" s="24"/>
      <c r="D71" s="23"/>
    </row>
    <row r="72" spans="1:4" x14ac:dyDescent="0.2">
      <c r="A72" s="24"/>
      <c r="B72" s="23"/>
      <c r="C72" s="24"/>
      <c r="D72" s="23"/>
    </row>
    <row r="73" spans="1:4" x14ac:dyDescent="0.2">
      <c r="A73" s="24"/>
      <c r="B73" s="23"/>
      <c r="C73" s="24"/>
      <c r="D73" s="23"/>
    </row>
    <row r="74" spans="1:4" x14ac:dyDescent="0.2">
      <c r="A74" s="24"/>
      <c r="B74" s="23"/>
      <c r="C74" s="24"/>
      <c r="D74" s="23"/>
    </row>
    <row r="75" spans="1:4" x14ac:dyDescent="0.2">
      <c r="A75" s="24"/>
      <c r="B75" s="23"/>
      <c r="C75" s="24"/>
      <c r="D75" s="23"/>
    </row>
    <row r="76" spans="1:4" x14ac:dyDescent="0.2">
      <c r="A76" s="24"/>
      <c r="B76" s="23"/>
      <c r="C76" s="24"/>
      <c r="D76" s="23"/>
    </row>
    <row r="77" spans="1:4" x14ac:dyDescent="0.2">
      <c r="A77" s="24"/>
      <c r="B77" s="23"/>
      <c r="C77" s="24"/>
      <c r="D77" s="23"/>
    </row>
    <row r="78" spans="1:4" x14ac:dyDescent="0.2">
      <c r="A78" s="24"/>
      <c r="B78" s="23"/>
      <c r="C78" s="24"/>
      <c r="D78" s="23"/>
    </row>
    <row r="79" spans="1:4" x14ac:dyDescent="0.2">
      <c r="A79" s="24"/>
      <c r="B79" s="23"/>
      <c r="C79" s="24"/>
      <c r="D79" s="23"/>
    </row>
    <row r="80" spans="1:4" x14ac:dyDescent="0.2">
      <c r="A80" s="24"/>
      <c r="B80" s="23"/>
      <c r="C80" s="24"/>
      <c r="D80" s="23"/>
    </row>
    <row r="81" spans="1:4" x14ac:dyDescent="0.2">
      <c r="A81" s="24"/>
      <c r="B81" s="23"/>
      <c r="C81" s="24"/>
      <c r="D81" s="23"/>
    </row>
    <row r="82" spans="1:4" x14ac:dyDescent="0.2">
      <c r="A82" s="24"/>
      <c r="B82" s="23"/>
      <c r="C82" s="24"/>
      <c r="D82" s="23"/>
    </row>
    <row r="83" spans="1:4" x14ac:dyDescent="0.2">
      <c r="A83" s="24"/>
      <c r="B83" s="23"/>
      <c r="C83" s="24"/>
      <c r="D83" s="23"/>
    </row>
    <row r="84" spans="1:4" x14ac:dyDescent="0.2">
      <c r="A84" s="24"/>
      <c r="B84" s="23"/>
      <c r="C84" s="24"/>
      <c r="D84" s="23"/>
    </row>
    <row r="85" spans="1:4" x14ac:dyDescent="0.2">
      <c r="A85" s="24"/>
      <c r="B85" s="23"/>
      <c r="C85" s="24"/>
      <c r="D85" s="23"/>
    </row>
    <row r="86" spans="1:4" x14ac:dyDescent="0.2">
      <c r="A86" s="24"/>
      <c r="B86" s="23"/>
      <c r="C86" s="24"/>
      <c r="D86" s="23"/>
    </row>
    <row r="87" spans="1:4" x14ac:dyDescent="0.2">
      <c r="A87" s="24"/>
      <c r="B87" s="23"/>
      <c r="C87" s="24"/>
      <c r="D87" s="23"/>
    </row>
    <row r="88" spans="1:4" x14ac:dyDescent="0.2">
      <c r="A88" s="24"/>
      <c r="B88" s="23"/>
      <c r="C88" s="24"/>
      <c r="D88" s="23"/>
    </row>
    <row r="89" spans="1:4" x14ac:dyDescent="0.2">
      <c r="A89" s="24"/>
      <c r="B89" s="23"/>
      <c r="C89" s="24"/>
      <c r="D89" s="23"/>
    </row>
    <row r="90" spans="1:4" x14ac:dyDescent="0.2">
      <c r="A90" s="24"/>
      <c r="B90" s="23"/>
      <c r="C90" s="24"/>
      <c r="D90" s="23"/>
    </row>
    <row r="91" spans="1:4" x14ac:dyDescent="0.2">
      <c r="A91" s="24"/>
      <c r="B91" s="23"/>
      <c r="C91" s="24"/>
      <c r="D91" s="23"/>
    </row>
    <row r="92" spans="1:4" x14ac:dyDescent="0.2">
      <c r="A92" s="24"/>
      <c r="B92" s="23"/>
      <c r="C92" s="24"/>
      <c r="D92" s="23"/>
    </row>
    <row r="93" spans="1:4" x14ac:dyDescent="0.2">
      <c r="A93" s="24"/>
      <c r="B93" s="23"/>
      <c r="C93" s="24"/>
      <c r="D93" s="23"/>
    </row>
    <row r="94" spans="1:4" x14ac:dyDescent="0.2">
      <c r="A94" s="24"/>
      <c r="B94" s="23"/>
      <c r="C94" s="24"/>
      <c r="D94" s="23"/>
    </row>
    <row r="95" spans="1:4" x14ac:dyDescent="0.2">
      <c r="A95" s="24"/>
      <c r="B95" s="23"/>
      <c r="C95" s="24"/>
      <c r="D95" s="23"/>
    </row>
    <row r="96" spans="1:4" x14ac:dyDescent="0.2">
      <c r="A96" s="24"/>
      <c r="B96" s="23"/>
      <c r="C96" s="24"/>
      <c r="D96" s="23"/>
    </row>
    <row r="97" spans="1:4" x14ac:dyDescent="0.2">
      <c r="A97" s="24"/>
      <c r="B97" s="23"/>
      <c r="C97" s="24"/>
      <c r="D97" s="23"/>
    </row>
    <row r="98" spans="1:4" x14ac:dyDescent="0.2">
      <c r="A98" s="24"/>
      <c r="B98" s="23"/>
      <c r="C98" s="24"/>
      <c r="D98" s="23"/>
    </row>
    <row r="99" spans="1:4" x14ac:dyDescent="0.2">
      <c r="A99" s="24"/>
      <c r="B99" s="23"/>
      <c r="C99" s="24"/>
      <c r="D99" s="23"/>
    </row>
    <row r="100" spans="1:4" x14ac:dyDescent="0.2">
      <c r="A100" s="24"/>
      <c r="B100" s="23"/>
      <c r="C100" s="24"/>
      <c r="D100" s="23"/>
    </row>
    <row r="101" spans="1:4" x14ac:dyDescent="0.2">
      <c r="A101" s="24"/>
      <c r="B101" s="23"/>
      <c r="C101" s="24"/>
      <c r="D101" s="23"/>
    </row>
    <row r="102" spans="1:4" x14ac:dyDescent="0.2">
      <c r="A102" s="24"/>
      <c r="B102" s="23"/>
      <c r="C102" s="24"/>
      <c r="D102" s="23"/>
    </row>
  </sheetData>
  <mergeCells count="2">
    <mergeCell ref="A3:B3"/>
    <mergeCell ref="C3:D3"/>
  </mergeCells>
  <pageMargins left="0.7" right="0.7" top="0.75" bottom="0.75" header="0.3" footer="0.3"/>
  <pageSetup paperSize="9" orientation="portrait" horizontalDpi="1200" verticalDpi="12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License and usage</vt:lpstr>
      <vt:lpstr>ETRO Example 9-points</vt:lpstr>
      <vt:lpstr>Verification with VCEG-M33-PSNR</vt:lpstr>
      <vt:lpstr>Verification with VCEG-M33 VMAF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Tbr</dc:creator>
  <cp:lastModifiedBy>Microsoft Office User</cp:lastModifiedBy>
  <dcterms:created xsi:type="dcterms:W3CDTF">2013-02-11T15:28:47Z</dcterms:created>
  <dcterms:modified xsi:type="dcterms:W3CDTF">2023-01-30T08:27:30Z</dcterms:modified>
</cp:coreProperties>
</file>