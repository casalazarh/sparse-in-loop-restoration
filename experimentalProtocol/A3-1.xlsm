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8_{5A21A46B-6820-3140-86FA-5F57DC9EFBED}" xr6:coauthVersionLast="47" xr6:coauthVersionMax="47" xr10:uidLastSave="{00000000-0000-0000-0000-000000000000}"/>
  <bookViews>
    <workbookView xWindow="0" yWindow="740" windowWidth="34560" windowHeight="21600" activeTab="3" xr2:uid="{00000000-000D-0000-FFFF-FFFF00000000}"/>
  </bookViews>
  <sheets>
    <sheet name="License and usage" sheetId="3" r:id="rId1"/>
    <sheet name="ETRO Example 9-points" sheetId="1" r:id="rId2"/>
    <sheet name="Verification with VCEG-M33-PSNR" sheetId="2" r:id="rId3"/>
    <sheet name="Verification with VCEG-M33 VMAF" sheetId="4" r:id="rId4"/>
  </sheets>
  <functionGroups builtInGroupCount="19"/>
  <definedNames>
    <definedName name="psnr1" localSheetId="3">OFFSET('Verification with VCEG-M33 VMAF'!$B$5, 0, 0, COUNTA('Verification with VCEG-M33 VMAF'!$B$5:$B$101), 1)</definedName>
    <definedName name="psnr1" localSheetId="2">OFFSET('Verification with VCEG-M33-PSNR'!$B$5, 0, 0, COUNTA('Verification with VCEG-M33-PSNR'!$B$5:$B$101), 1)</definedName>
    <definedName name="psnr2" localSheetId="3">OFFSET('Verification with VCEG-M33 VMAF'!$D$5, 0, 0, COUNTA('Verification with VCEG-M33 VMAF'!$D$5:$D$101), 1)</definedName>
    <definedName name="psnr2" localSheetId="2">OFFSET('Verification with VCEG-M33-PSNR'!$D$5, 0, 0, COUNTA('Verification with VCEG-M33-PSNR'!$D$5:$D$101), 1)</definedName>
    <definedName name="rates1" localSheetId="3">OFFSET('Verification with VCEG-M33 VMAF'!$A$5, 0, 0, COUNTA('Verification with VCEG-M33 VMAF'!$A$5:$A$101), 1)</definedName>
    <definedName name="rates1" localSheetId="2">OFFSET('Verification with VCEG-M33-PSNR'!$A$5, 0, 0, COUNTA('Verification with VCEG-M33-PSNR'!$A$5:$A$101), 1)</definedName>
    <definedName name="rates2" localSheetId="3">OFFSET('Verification with VCEG-M33 VMAF'!$C$5, 0, 0, COUNTA('Verification with VCEG-M33 VMAF'!$C$5:$C$101), 1)</definedName>
    <definedName name="rates2" localSheetId="2">OFFSET('Verification with VCEG-M33-PSNR'!$C$5, 0, 0, COUNTA('Verification with VCEG-M33-PSNR'!$C$5:$C$101),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4" l="1" a="1"/>
  <c r="N4" i="2" a="1"/>
  <c r="M4" i="2" a="1"/>
  <c r="N4" i="4" l="1"/>
  <c r="N4" i="2"/>
  <c r="M4" i="2"/>
  <c r="I5" i="4"/>
  <c r="I4" i="4"/>
  <c r="I5" i="2"/>
  <c r="I4" i="2"/>
  <c r="C3" i="1"/>
  <c r="C4" i="1"/>
  <c r="C5" i="1"/>
  <c r="C6" i="1"/>
  <c r="C7" i="1"/>
  <c r="C8" i="1"/>
  <c r="C9" i="1"/>
  <c r="C10" i="1"/>
  <c r="C11" i="1"/>
  <c r="I3" i="1" a="1"/>
  <c r="J3" i="1" a="1"/>
  <c r="M4" i="4" a="1"/>
  <c r="M4" i="4" l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<sst xmlns="http://schemas.openxmlformats.org/spreadsheetml/2006/main" count="77" uniqueCount="51">
  <si>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</si>
  <si>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</si>
  <si>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</si>
  <si>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</si>
  <si>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</si>
  <si>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</si>
  <si>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</si>
  <si>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</si>
  <si>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</si>
  <si>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</si>
  <si>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</si>
  <si>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</si>
  <si>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</si>
  <si>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</si>
  <si>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</si>
  <si>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</si>
  <si>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</si>
  <si>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</si>
  <si>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</si>
  <si>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</si>
  <si>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</si>
  <si>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</si>
  <si>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</si>
  <si>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</si>
  <si>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</si>
  <si>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</si>
  <si>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</si>
  <si>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</si>
  <si>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</si>
  <si>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</si>
  <si>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</si>
  <si>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</si>
  <si>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</si>
  <si>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</si>
  <si>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</si>
  <si>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</si>
  <si>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</si>
  <si>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</si>
  <si>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</si>
  <si>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</si>
  <si>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</si>
  <si>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</si>
  <si>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</si>
  <si>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</si>
  <si>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</si>
  <si>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</si>
  <si>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</si>
  <si>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</si>
  <si>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vmaf</t>
  </si>
  <si>
    <t>anchor</t>
  </si>
  <si>
    <t>SSRM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</si>
</sst>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76" formatCode="0.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6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1" xfId="0" applyFont="1" applyBorder="1"/>
    <xf numFmtId="0" fontId="0" fillId="0" borderId="20" xfId="0" applyBorder="1" applyProtection="1">
      <protection locked="0"/>
    </xf>
    <xf numFmtId="0" fontId="0" fillId="0" borderId="0" xfId="0" applyProtection="1">
      <protection locked="0"/>
    </xf>
    <xf numFmtId="0" fontId="0" fillId="0" borderId="20" xfId="0" applyBorder="1"/>
    <xf numFmtId="0" fontId="16" fillId="0" borderId="22" xfId="0" applyFont="1" applyBorder="1"/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5" xfId="0" applyNumberFormat="1" applyFont="1" applyBorder="1"/>
    <xf numFmtId="164" fontId="23" fillId="0" borderId="26" xfId="0" applyNumberFormat="1" applyFont="1" applyBorder="1"/>
    <xf numFmtId="0" fontId="24" fillId="0" borderId="0" xfId="0" applyFont="1"/>
    <xf numFmtId="0" fontId="21" fillId="0" borderId="27" xfId="0" applyFont="1" applyBorder="1" applyAlignment="1">
      <alignment horizontal="left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9" xfId="0" applyBorder="1"/>
    <xf numFmtId="0" fontId="0" fillId="33" borderId="0" xfId="0" applyFill="1"/>
    <xf numFmtId="0" fontId="0" fillId="0" borderId="0" xfId="0" applyBorder="1"/>
    <xf numFmtId="176" fontId="0" fillId="0" borderId="0" xfId="0" applyNumberFormat="1"/>
    <xf numFmtId="0" fontId="0" fillId="33" borderId="0" xfId="0" applyFill="1" applyBorder="1"/>
    <xf numFmtId="0" fontId="0" fillId="0" borderId="12" xfId="0" applyBorder="1"/>
    <xf numFmtId="0" fontId="16" fillId="0" borderId="20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824354192568"/>
          <c:y val="3.3657564880762221E-2"/>
          <c:w val="0.84116098563337482"/>
          <c:h val="0.91371319038580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VCEG-M33-PSNR'!$A$3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VCEG-M33-PSNR'!$A$5:$A$8</c:f>
              <c:numCache>
                <c:formatCode>General</c:formatCode>
                <c:ptCount val="4"/>
                <c:pt idx="0">
                  <c:v>23597.567999999999</c:v>
                </c:pt>
                <c:pt idx="1">
                  <c:v>12299.616</c:v>
                </c:pt>
                <c:pt idx="2">
                  <c:v>5346.7359999999999</c:v>
                </c:pt>
                <c:pt idx="3">
                  <c:v>1775.28</c:v>
                </c:pt>
              </c:numCache>
            </c:numRef>
          </c:xVal>
          <c:yVal>
            <c:numRef>
              <c:f>'Verification with VCEG-M33-PSNR'!$B$5:$B$8</c:f>
              <c:numCache>
                <c:formatCode>General</c:formatCode>
                <c:ptCount val="4"/>
                <c:pt idx="0">
                  <c:v>39.344087000000002</c:v>
                </c:pt>
                <c:pt idx="1">
                  <c:v>34.644840000000002</c:v>
                </c:pt>
                <c:pt idx="2">
                  <c:v>30.240642000000001</c:v>
                </c:pt>
                <c:pt idx="3">
                  <c:v>26.560022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VCEG-M33-PSNR'!$C$3</c:f>
              <c:strCache>
                <c:ptCount val="1"/>
                <c:pt idx="0">
                  <c:v>SSRM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VCEG-M33-PSNR'!$C$5:$C$8</c:f>
              <c:numCache>
                <c:formatCode>General</c:formatCode>
                <c:ptCount val="4"/>
                <c:pt idx="0">
                  <c:v>23786.78784375</c:v>
                </c:pt>
                <c:pt idx="1">
                  <c:v>12515.299031250001</c:v>
                </c:pt>
                <c:pt idx="2">
                  <c:v>5502.5619374999997</c:v>
                </c:pt>
                <c:pt idx="3">
                  <c:v>1818.5279062499999</c:v>
                </c:pt>
              </c:numCache>
            </c:numRef>
          </c:xVal>
          <c:yVal>
            <c:numRef>
              <c:f>'Verification with VCEG-M33-PSNR'!$D$5:$D$8</c:f>
              <c:numCache>
                <c:formatCode>General</c:formatCode>
                <c:ptCount val="4"/>
                <c:pt idx="0">
                  <c:v>39.265630000000002</c:v>
                </c:pt>
                <c:pt idx="1">
                  <c:v>34.549357999999998</c:v>
                </c:pt>
                <c:pt idx="2">
                  <c:v>30.231114999999999</c:v>
                </c:pt>
                <c:pt idx="3">
                  <c:v>26.613223999999999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 VMAF'!$A$3</c:f>
              <c:strCache>
                <c:ptCount val="1"/>
                <c:pt idx="0">
                  <c:v>anchor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VMAF'!$A$5:$A$8</c:f>
              <c:numCache>
                <c:formatCode>General</c:formatCode>
                <c:ptCount val="4"/>
                <c:pt idx="0">
                  <c:v>23597.567999999999</c:v>
                </c:pt>
                <c:pt idx="1">
                  <c:v>12299.616</c:v>
                </c:pt>
                <c:pt idx="2">
                  <c:v>5346.7359999999999</c:v>
                </c:pt>
                <c:pt idx="3">
                  <c:v>1775.28</c:v>
                </c:pt>
              </c:numCache>
            </c:numRef>
          </c:xVal>
          <c:yVal>
            <c:numRef>
              <c:f>'Verification with VCEG-M33 VMAF'!$B$5:$B$8</c:f>
              <c:numCache>
                <c:formatCode>General</c:formatCode>
                <c:ptCount val="4"/>
                <c:pt idx="0">
                  <c:v>94.328168000000005</c:v>
                </c:pt>
                <c:pt idx="1">
                  <c:v>87.256803000000005</c:v>
                </c:pt>
                <c:pt idx="2">
                  <c:v>71.620520999999997</c:v>
                </c:pt>
                <c:pt idx="3">
                  <c:v>47.886771000000003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A-F444-B7CA-DF32731FCEC6}"/>
            </c:ext>
          </c:extLst>
        </c:ser>
        <c:ser>
          <c:idx val="1"/>
          <c:order val="1"/>
          <c:tx>
            <c:strRef>
              <c:f>'Verification with VCEG-M33 VMAF'!$C$3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VMAF'!$C$5:$C$8</c:f>
              <c:numCache>
                <c:formatCode>General</c:formatCode>
                <c:ptCount val="4"/>
                <c:pt idx="0">
                  <c:v>23786.78784375</c:v>
                </c:pt>
                <c:pt idx="1">
                  <c:v>12515.299031250001</c:v>
                </c:pt>
                <c:pt idx="2">
                  <c:v>5502.5619374999997</c:v>
                </c:pt>
                <c:pt idx="3">
                  <c:v>1818.5279062499999</c:v>
                </c:pt>
              </c:numCache>
            </c:numRef>
          </c:xVal>
          <c:yVal>
            <c:numRef>
              <c:f>'Verification with VCEG-M33 VMAF'!$D$5:$D$8</c:f>
              <c:numCache>
                <c:formatCode>General</c:formatCode>
                <c:ptCount val="4"/>
                <c:pt idx="0">
                  <c:v>94.728696999999997</c:v>
                </c:pt>
                <c:pt idx="1">
                  <c:v>87.955744999999993</c:v>
                </c:pt>
                <c:pt idx="2">
                  <c:v>73.442661999999999</c:v>
                </c:pt>
                <c:pt idx="3">
                  <c:v>48.703248000000002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A-F444-B7CA-DF32731F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632460</xdr:colOff>
      <xdr:row>9</xdr:row>
      <xdr:rowOff>81280</xdr:rowOff>
    </xdr:from>
    <xdr:to>
      <xdr:col>17</xdr:col>
      <xdr:colOff>218440</xdr:colOff>
      <xdr:row>37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5</xdr:row>
      <xdr:rowOff>165100</xdr:rowOff>
    </xdr:from>
    <xdr:to>
      <xdr:col>24</xdr:col>
      <xdr:colOff>469900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AE6DB-346B-1746-AADF-9AFBEB9A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16</v>
      </c>
    </row>
    <row r="3" spans="1:5" x14ac:dyDescent="0.2">
      <c r="A3" s="1" t="s">
        <v>22</v>
      </c>
    </row>
    <row r="4" spans="1:5" x14ac:dyDescent="0.2">
      <c r="B4" t="s">
        <v>17</v>
      </c>
      <c r="E4" t="s">
        <v>18</v>
      </c>
    </row>
    <row r="5" spans="1:5" x14ac:dyDescent="0.2">
      <c r="B5" t="s">
        <v>19</v>
      </c>
      <c r="E5" t="s">
        <v>20</v>
      </c>
    </row>
    <row r="7" spans="1:5" x14ac:dyDescent="0.2">
      <c r="A7" s="1" t="s">
        <v>21</v>
      </c>
    </row>
    <row r="8" spans="1:5" x14ac:dyDescent="0.2">
      <c r="B8" t="s">
        <v>23</v>
      </c>
    </row>
    <row r="10" spans="1:5" x14ac:dyDescent="0.2">
      <c r="A10" s="1" t="s">
        <v>24</v>
      </c>
    </row>
    <row r="11" spans="1:5" x14ac:dyDescent="0.2">
      <c r="B11" t="s">
        <v>25</v>
      </c>
    </row>
    <row r="12" spans="1:5" x14ac:dyDescent="0.2">
      <c r="B12" t="s">
        <v>26</v>
      </c>
    </row>
    <row r="14" spans="1:5" x14ac:dyDescent="0.2">
      <c r="A14" s="33" t="s">
        <v>27</v>
      </c>
    </row>
    <row r="15" spans="1:5" x14ac:dyDescent="0.2">
      <c r="A15" s="33" t="s">
        <v>28</v>
      </c>
    </row>
    <row r="16" spans="1:5" x14ac:dyDescent="0.2">
      <c r="A16" s="33"/>
    </row>
    <row r="17" spans="1:1" x14ac:dyDescent="0.2">
      <c r="A17" s="33" t="s">
        <v>29</v>
      </c>
    </row>
    <row r="18" spans="1:1" x14ac:dyDescent="0.2">
      <c r="A18" s="33" t="s">
        <v>30</v>
      </c>
    </row>
    <row r="19" spans="1:1" x14ac:dyDescent="0.2">
      <c r="A19" s="33" t="s">
        <v>31</v>
      </c>
    </row>
    <row r="20" spans="1:1" x14ac:dyDescent="0.2">
      <c r="A20" s="33" t="s">
        <v>32</v>
      </c>
    </row>
    <row r="21" spans="1:1" x14ac:dyDescent="0.2">
      <c r="A21" s="33" t="s">
        <v>33</v>
      </c>
    </row>
    <row r="22" spans="1:1" x14ac:dyDescent="0.2">
      <c r="A22" s="33"/>
    </row>
    <row r="23" spans="1:1" x14ac:dyDescent="0.2">
      <c r="A23" t="s">
        <v>34</v>
      </c>
    </row>
    <row r="24" spans="1:1" x14ac:dyDescent="0.2">
      <c r="A24" t="s">
        <v>35</v>
      </c>
    </row>
    <row r="26" spans="1:1" x14ac:dyDescent="0.2">
      <c r="A26" t="s">
        <v>41</v>
      </c>
    </row>
    <row r="27" spans="1:1" x14ac:dyDescent="0.2">
      <c r="A27" t="s">
        <v>40</v>
      </c>
    </row>
    <row r="28" spans="1:1" x14ac:dyDescent="0.2">
      <c r="A28" t="s">
        <v>39</v>
      </c>
    </row>
    <row r="29" spans="1:1" x14ac:dyDescent="0.2">
      <c r="A29" t="s">
        <v>38</v>
      </c>
    </row>
    <row r="30" spans="1:1" x14ac:dyDescent="0.2">
      <c r="A30" t="s">
        <v>37</v>
      </c>
    </row>
    <row r="31" spans="1:1" x14ac:dyDescent="0.2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36" t="s">
        <v>5</v>
      </c>
      <c r="B1" s="36"/>
      <c r="C1" s="5"/>
      <c r="D1" s="35" t="s">
        <v>1</v>
      </c>
      <c r="E1" s="35"/>
      <c r="F1" s="35" t="s">
        <v>2</v>
      </c>
      <c r="G1" s="35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47</v>
      </c>
      <c r="J2" s="2" t="s">
        <v>46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topLeftCell="A7" zoomScale="125" workbookViewId="0">
      <selection activeCell="N5" sqref="N5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1.83203125" bestFit="1" customWidth="1"/>
    <col min="8" max="8" width="9" bestFit="1" customWidth="1"/>
    <col min="9" max="9" width="34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37" t="s">
        <v>9</v>
      </c>
      <c r="B3" s="38"/>
      <c r="C3" s="37" t="s">
        <v>50</v>
      </c>
      <c r="D3" s="38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12</v>
      </c>
      <c r="C4" s="18" t="s">
        <v>11</v>
      </c>
      <c r="D4" s="17" t="s">
        <v>12</v>
      </c>
      <c r="E4" s="29">
        <v>0.80071318397395785</v>
      </c>
      <c r="F4" s="30">
        <v>-13.261772993093556</v>
      </c>
      <c r="G4" s="19">
        <v>36</v>
      </c>
      <c r="H4" s="20">
        <v>36</v>
      </c>
      <c r="I4" s="21" t="str">
        <f>A3</f>
        <v>Curve1</v>
      </c>
      <c r="L4" s="34"/>
      <c r="M4" s="31" cm="1">
        <f t="array" ref="M4">BDSNR(A5:A10,B5:B10,C5:C10,D5:D10)</f>
        <v>-9.5321061330155027E-2</v>
      </c>
      <c r="N4" s="32" cm="1">
        <f t="array" ref="N4">BDBR(A5:A40,B5:B40,C5:C40,D5:D40)</f>
        <v>2.3658247268659505</v>
      </c>
    </row>
    <row r="5" spans="1:14" x14ac:dyDescent="0.2">
      <c r="A5" s="39">
        <v>23597.567999999999</v>
      </c>
      <c r="B5" s="39">
        <v>39.344087000000002</v>
      </c>
      <c r="C5" s="39">
        <v>23786.78784375</v>
      </c>
      <c r="D5">
        <v>39.265630000000002</v>
      </c>
      <c r="G5" s="19">
        <v>36</v>
      </c>
      <c r="H5" s="20">
        <v>36</v>
      </c>
      <c r="I5" s="22" t="str">
        <f>C3</f>
        <v>SSRM</v>
      </c>
    </row>
    <row r="6" spans="1:14" x14ac:dyDescent="0.2">
      <c r="A6" s="39">
        <v>12299.616</v>
      </c>
      <c r="B6" s="39">
        <v>34.644840000000002</v>
      </c>
      <c r="C6" s="39">
        <v>12515.299031250001</v>
      </c>
      <c r="D6">
        <v>34.549357999999998</v>
      </c>
    </row>
    <row r="7" spans="1:14" x14ac:dyDescent="0.2">
      <c r="A7" s="39">
        <v>5346.7359999999999</v>
      </c>
      <c r="B7" s="39">
        <v>30.240642000000001</v>
      </c>
      <c r="C7" s="39">
        <v>5502.5619374999997</v>
      </c>
      <c r="D7">
        <v>30.231114999999999</v>
      </c>
    </row>
    <row r="8" spans="1:14" x14ac:dyDescent="0.2">
      <c r="A8" s="39">
        <v>1775.28</v>
      </c>
      <c r="B8" s="39">
        <v>26.560022</v>
      </c>
      <c r="C8" s="39">
        <v>1818.5279062499999</v>
      </c>
      <c r="D8">
        <v>26.613223999999999</v>
      </c>
    </row>
    <row r="9" spans="1:14" x14ac:dyDescent="0.2">
      <c r="A9" s="39">
        <v>510.71999999999997</v>
      </c>
      <c r="B9" s="39">
        <v>23.875285000000002</v>
      </c>
      <c r="C9" s="39">
        <v>578.20875000000001</v>
      </c>
      <c r="D9">
        <v>24.027915</v>
      </c>
    </row>
    <row r="10" spans="1:14" x14ac:dyDescent="0.2">
      <c r="A10" s="39">
        <v>40619.792000000001</v>
      </c>
      <c r="B10" s="39">
        <v>44.235928999999999</v>
      </c>
      <c r="C10" s="39">
        <v>40754.619234375001</v>
      </c>
      <c r="D10">
        <v>44.257333000000003</v>
      </c>
    </row>
    <row r="11" spans="1:14" x14ac:dyDescent="0.2">
      <c r="A11" s="39">
        <v>10366.848</v>
      </c>
      <c r="B11" s="39">
        <v>42.452775000000003</v>
      </c>
      <c r="C11" s="39">
        <v>10563.53615625</v>
      </c>
      <c r="D11">
        <v>42.516367000000002</v>
      </c>
    </row>
    <row r="12" spans="1:14" x14ac:dyDescent="0.2">
      <c r="A12" s="39">
        <v>5114.5280000000002</v>
      </c>
      <c r="B12" s="39">
        <v>39.851537</v>
      </c>
      <c r="C12" s="39">
        <v>5263.0313437499999</v>
      </c>
      <c r="D12">
        <v>39.944197000000003</v>
      </c>
      <c r="E12" s="41"/>
      <c r="F12" s="41"/>
      <c r="G12" s="41"/>
      <c r="I12" s="42"/>
    </row>
    <row r="13" spans="1:14" x14ac:dyDescent="0.2">
      <c r="A13" s="39">
        <v>2591.5839999999998</v>
      </c>
      <c r="B13" s="39">
        <v>36.927075000000002</v>
      </c>
      <c r="C13" s="39">
        <v>2695.5217499999999</v>
      </c>
      <c r="D13">
        <v>37.069212999999998</v>
      </c>
      <c r="E13" s="41"/>
      <c r="F13" s="41"/>
      <c r="G13" s="41"/>
      <c r="I13" s="42"/>
    </row>
    <row r="14" spans="1:14" x14ac:dyDescent="0.2">
      <c r="A14" s="39">
        <v>1243.2639999999999</v>
      </c>
      <c r="B14" s="39">
        <v>33.488664</v>
      </c>
      <c r="C14" s="39">
        <v>1272.4691250000001</v>
      </c>
      <c r="D14">
        <v>33.687415000000001</v>
      </c>
      <c r="E14" s="41"/>
      <c r="F14" s="41"/>
      <c r="G14" s="43"/>
      <c r="H14" s="40"/>
      <c r="I14" s="42"/>
    </row>
    <row r="15" spans="1:14" x14ac:dyDescent="0.2">
      <c r="A15" s="39">
        <v>609.72800000000007</v>
      </c>
      <c r="B15" s="39">
        <v>30.196214000000001</v>
      </c>
      <c r="C15" s="39">
        <v>644.32987500000002</v>
      </c>
      <c r="D15">
        <v>30.499939000000001</v>
      </c>
      <c r="E15" s="41"/>
      <c r="F15" s="41"/>
      <c r="G15" s="43"/>
      <c r="H15" s="40"/>
      <c r="I15" s="42"/>
    </row>
    <row r="16" spans="1:14" x14ac:dyDescent="0.2">
      <c r="A16" s="39">
        <v>22550.080000000002</v>
      </c>
      <c r="B16" s="39">
        <v>45.004334999999998</v>
      </c>
      <c r="C16" s="39">
        <v>22686.752296875002</v>
      </c>
      <c r="D16">
        <v>45.035221</v>
      </c>
      <c r="E16" s="41"/>
      <c r="F16" s="41"/>
      <c r="G16" s="41"/>
      <c r="I16" s="42"/>
    </row>
    <row r="17" spans="1:9" x14ac:dyDescent="0.2">
      <c r="A17" s="39">
        <v>12624.032000000001</v>
      </c>
      <c r="B17" s="39">
        <v>42.842365999999998</v>
      </c>
      <c r="C17" s="39">
        <v>12854.590640625</v>
      </c>
      <c r="D17">
        <v>42.919508</v>
      </c>
      <c r="E17" s="41"/>
      <c r="F17" s="41"/>
      <c r="G17" s="41"/>
      <c r="I17" s="42"/>
    </row>
    <row r="18" spans="1:9" x14ac:dyDescent="0.2">
      <c r="A18" s="39">
        <v>6713.3119999999999</v>
      </c>
      <c r="B18" s="39">
        <v>39.830145999999999</v>
      </c>
      <c r="C18" s="39">
        <v>6900.9308437500003</v>
      </c>
      <c r="D18">
        <v>39.933287</v>
      </c>
      <c r="E18" s="41"/>
      <c r="F18" s="41"/>
      <c r="G18" s="41"/>
    </row>
    <row r="19" spans="1:9" x14ac:dyDescent="0.2">
      <c r="A19" s="39">
        <v>3600.96</v>
      </c>
      <c r="B19" s="39">
        <v>36.456206999999999</v>
      </c>
      <c r="C19" s="39">
        <v>3738.6819375</v>
      </c>
      <c r="D19">
        <v>36.606903000000003</v>
      </c>
      <c r="E19" s="41"/>
      <c r="F19" s="41"/>
      <c r="G19" s="41"/>
    </row>
    <row r="20" spans="1:9" x14ac:dyDescent="0.2">
      <c r="A20" s="39">
        <v>1789.2159999999999</v>
      </c>
      <c r="B20" s="39">
        <v>32.536389</v>
      </c>
      <c r="C20" s="39">
        <v>1826.12671875</v>
      </c>
      <c r="D20">
        <v>32.682346000000003</v>
      </c>
      <c r="E20" s="41"/>
      <c r="F20" s="41"/>
      <c r="G20" s="41"/>
    </row>
    <row r="21" spans="1:9" x14ac:dyDescent="0.2">
      <c r="A21" s="39">
        <v>800.44799999999998</v>
      </c>
      <c r="B21" s="39">
        <v>28.707335</v>
      </c>
      <c r="C21" s="39">
        <v>834.58040625000001</v>
      </c>
      <c r="D21">
        <v>28.895893999999998</v>
      </c>
    </row>
    <row r="22" spans="1:9" x14ac:dyDescent="0.2">
      <c r="A22" s="39">
        <v>24497.727999999999</v>
      </c>
      <c r="B22" s="39">
        <v>45.496310999999999</v>
      </c>
      <c r="C22" s="39">
        <v>24661.898015625</v>
      </c>
      <c r="D22">
        <v>45.535972000000001</v>
      </c>
    </row>
    <row r="23" spans="1:9" x14ac:dyDescent="0.2">
      <c r="A23" s="39">
        <v>12588.191999999999</v>
      </c>
      <c r="B23" s="39">
        <v>42.244627999999999</v>
      </c>
      <c r="C23" s="39">
        <v>12835.815375</v>
      </c>
      <c r="D23">
        <v>42.276536999999998</v>
      </c>
    </row>
    <row r="24" spans="1:9" x14ac:dyDescent="0.2">
      <c r="A24" s="39">
        <v>6823.3919999999998</v>
      </c>
      <c r="B24" s="39">
        <v>39.360028999999997</v>
      </c>
      <c r="C24" s="39">
        <v>7057.9327499999999</v>
      </c>
      <c r="D24">
        <v>39.449010000000001</v>
      </c>
    </row>
    <row r="25" spans="1:9" x14ac:dyDescent="0.2">
      <c r="A25" s="39">
        <v>3533.9520000000002</v>
      </c>
      <c r="B25" s="39">
        <v>35.776060000000001</v>
      </c>
      <c r="C25" s="39">
        <v>3688.446375</v>
      </c>
      <c r="D25">
        <v>35.916161000000002</v>
      </c>
    </row>
    <row r="26" spans="1:9" x14ac:dyDescent="0.2">
      <c r="A26" s="39">
        <v>1496.096</v>
      </c>
      <c r="B26" s="39">
        <v>31.721474000000001</v>
      </c>
      <c r="C26" s="39">
        <v>1529.6823750000001</v>
      </c>
      <c r="D26">
        <v>31.846378000000001</v>
      </c>
    </row>
    <row r="27" spans="1:9" x14ac:dyDescent="0.2">
      <c r="A27" s="39">
        <v>477.34399999999999</v>
      </c>
      <c r="B27" s="39">
        <v>28.104918999999999</v>
      </c>
      <c r="C27" s="39">
        <v>516.86775</v>
      </c>
      <c r="D27">
        <v>28.329574000000001</v>
      </c>
    </row>
    <row r="28" spans="1:9" x14ac:dyDescent="0.2">
      <c r="A28" s="39">
        <v>26689.759999999998</v>
      </c>
      <c r="B28" s="39">
        <v>44.984758999999997</v>
      </c>
      <c r="C28" s="39">
        <v>26820.58425</v>
      </c>
      <c r="D28">
        <v>45.003048</v>
      </c>
    </row>
    <row r="29" spans="1:9" x14ac:dyDescent="0.2">
      <c r="A29" s="39">
        <v>11559.296</v>
      </c>
      <c r="B29" s="39">
        <v>42.630577000000002</v>
      </c>
      <c r="C29" s="39">
        <v>11825.026593750001</v>
      </c>
      <c r="D29">
        <v>42.746459000000002</v>
      </c>
    </row>
    <row r="30" spans="1:9" x14ac:dyDescent="0.2">
      <c r="A30" s="39">
        <v>5637.8240000000005</v>
      </c>
      <c r="B30" s="39">
        <v>39.585465999999997</v>
      </c>
      <c r="C30" s="39">
        <v>5906.0406562500002</v>
      </c>
      <c r="D30">
        <v>39.816631999999998</v>
      </c>
    </row>
    <row r="31" spans="1:9" x14ac:dyDescent="0.2">
      <c r="A31" s="39">
        <v>2754.4320000000002</v>
      </c>
      <c r="B31" s="39">
        <v>36.462049</v>
      </c>
      <c r="C31" s="39">
        <v>2941.0383750000001</v>
      </c>
      <c r="D31">
        <v>36.768652000000003</v>
      </c>
    </row>
    <row r="32" spans="1:9" x14ac:dyDescent="0.2">
      <c r="A32" s="39">
        <v>1349.9839999999999</v>
      </c>
      <c r="B32" s="39">
        <v>33.150418999999999</v>
      </c>
      <c r="C32" s="39">
        <v>1396.0074374999999</v>
      </c>
      <c r="D32">
        <v>33.394914</v>
      </c>
    </row>
    <row r="33" spans="1:4" x14ac:dyDescent="0.2">
      <c r="A33" s="39">
        <v>611.74400000000003</v>
      </c>
      <c r="B33" s="39">
        <v>29.550315999999999</v>
      </c>
      <c r="C33" s="39">
        <v>659.00212499999998</v>
      </c>
      <c r="D33">
        <v>29.896664999999999</v>
      </c>
    </row>
    <row r="34" spans="1:4" x14ac:dyDescent="0.2">
      <c r="A34" s="39">
        <v>24528.863999999998</v>
      </c>
      <c r="B34" s="39">
        <v>45.726554999999998</v>
      </c>
      <c r="C34" s="39">
        <v>24728.932828124998</v>
      </c>
      <c r="D34">
        <v>45.786417999999998</v>
      </c>
    </row>
    <row r="35" spans="1:4" x14ac:dyDescent="0.2">
      <c r="A35" s="39">
        <v>14679.824000000001</v>
      </c>
      <c r="B35" s="39">
        <v>40.925794000000003</v>
      </c>
      <c r="C35" s="39">
        <v>14952.881203125</v>
      </c>
      <c r="D35">
        <v>40.864876000000002</v>
      </c>
    </row>
    <row r="36" spans="1:4" x14ac:dyDescent="0.2">
      <c r="A36" s="39">
        <v>8066.5439999999999</v>
      </c>
      <c r="B36" s="39">
        <v>36.728110999999998</v>
      </c>
      <c r="C36" s="39">
        <v>8366.4903281250008</v>
      </c>
      <c r="D36">
        <v>36.703144999999999</v>
      </c>
    </row>
    <row r="37" spans="1:4" x14ac:dyDescent="0.2">
      <c r="A37" s="39">
        <v>4166.384</v>
      </c>
      <c r="B37" s="39">
        <v>32.651550999999998</v>
      </c>
      <c r="C37" s="39">
        <v>4389.348</v>
      </c>
      <c r="D37">
        <v>32.678432999999998</v>
      </c>
    </row>
    <row r="38" spans="1:4" x14ac:dyDescent="0.2">
      <c r="A38" s="39">
        <v>1944.72</v>
      </c>
      <c r="B38" s="39">
        <v>28.751656000000001</v>
      </c>
      <c r="C38" s="39">
        <v>2020.4539687500001</v>
      </c>
      <c r="D38">
        <v>28.771087999999999</v>
      </c>
    </row>
    <row r="39" spans="1:4" x14ac:dyDescent="0.2">
      <c r="A39" s="39">
        <v>864.56</v>
      </c>
      <c r="B39" s="39">
        <v>25.131513999999999</v>
      </c>
      <c r="C39" s="39">
        <v>937.18528125</v>
      </c>
      <c r="D39">
        <v>25.245459</v>
      </c>
    </row>
    <row r="40" spans="1:4" x14ac:dyDescent="0.2">
      <c r="A40" s="39">
        <v>26131.263999999999</v>
      </c>
      <c r="B40" s="39">
        <v>45.430956999999999</v>
      </c>
      <c r="C40" s="39">
        <v>26340.761296875</v>
      </c>
      <c r="D40">
        <v>45.427793999999999</v>
      </c>
    </row>
    <row r="41" spans="1:4" x14ac:dyDescent="0.2">
      <c r="A41" s="24"/>
      <c r="B41" s="23"/>
      <c r="C41" s="24"/>
      <c r="D41" s="23"/>
    </row>
    <row r="42" spans="1:4" x14ac:dyDescent="0.2">
      <c r="A42" s="24"/>
      <c r="B42" s="23"/>
      <c r="C42" s="24"/>
      <c r="D42" s="23"/>
    </row>
    <row r="43" spans="1:4" x14ac:dyDescent="0.2">
      <c r="A43" s="24"/>
      <c r="B43" s="23"/>
      <c r="C43" s="24"/>
      <c r="D43" s="23"/>
    </row>
    <row r="44" spans="1:4" x14ac:dyDescent="0.2">
      <c r="A44" s="24"/>
      <c r="B44" s="23"/>
      <c r="C44" s="24"/>
      <c r="D44" s="23"/>
    </row>
    <row r="45" spans="1:4" x14ac:dyDescent="0.2">
      <c r="A45" s="24"/>
      <c r="B45" s="23"/>
      <c r="C45" s="24"/>
      <c r="D45" s="23"/>
    </row>
    <row r="46" spans="1:4" x14ac:dyDescent="0.2">
      <c r="A46" s="24"/>
      <c r="B46" s="23"/>
      <c r="C46" s="24"/>
      <c r="D46" s="23"/>
    </row>
    <row r="47" spans="1:4" x14ac:dyDescent="0.2">
      <c r="A47" s="24"/>
      <c r="B47" s="23"/>
      <c r="C47" s="24"/>
      <c r="D47" s="23"/>
    </row>
    <row r="48" spans="1:4" x14ac:dyDescent="0.2">
      <c r="A48" s="24"/>
      <c r="B48" s="23"/>
      <c r="C48" s="24"/>
      <c r="D48" s="23"/>
    </row>
    <row r="49" spans="1:4" x14ac:dyDescent="0.2">
      <c r="A49" s="24"/>
      <c r="B49" s="23"/>
      <c r="C49" s="24"/>
      <c r="D49" s="23"/>
    </row>
    <row r="50" spans="1:4" x14ac:dyDescent="0.2">
      <c r="A50" s="24"/>
      <c r="B50" s="23"/>
      <c r="C50" s="24"/>
      <c r="D50" s="23"/>
    </row>
    <row r="51" spans="1:4" x14ac:dyDescent="0.2">
      <c r="A51" s="24"/>
      <c r="B51" s="23"/>
      <c r="C51" s="24"/>
      <c r="D51" s="23"/>
    </row>
    <row r="52" spans="1:4" x14ac:dyDescent="0.2">
      <c r="A52" s="24"/>
      <c r="B52" s="23"/>
      <c r="C52" s="24"/>
      <c r="D52" s="23"/>
    </row>
    <row r="53" spans="1:4" x14ac:dyDescent="0.2">
      <c r="A53" s="24"/>
      <c r="B53" s="23"/>
      <c r="C53" s="24"/>
      <c r="D53" s="23"/>
    </row>
    <row r="54" spans="1:4" x14ac:dyDescent="0.2">
      <c r="A54" s="24"/>
      <c r="B54" s="23"/>
      <c r="C54" s="24"/>
      <c r="D54" s="23"/>
    </row>
    <row r="55" spans="1:4" x14ac:dyDescent="0.2">
      <c r="A55" s="24"/>
      <c r="B55" s="23"/>
      <c r="C55" s="24"/>
      <c r="D55" s="23"/>
    </row>
    <row r="56" spans="1:4" x14ac:dyDescent="0.2">
      <c r="A56" s="24"/>
      <c r="B56" s="23"/>
      <c r="C56" s="24"/>
      <c r="D56" s="23"/>
    </row>
    <row r="57" spans="1:4" x14ac:dyDescent="0.2">
      <c r="A57" s="24"/>
      <c r="B57" s="23"/>
      <c r="C57" s="24"/>
      <c r="D57" s="23"/>
    </row>
    <row r="58" spans="1:4" x14ac:dyDescent="0.2">
      <c r="A58" s="24"/>
      <c r="B58" s="23"/>
      <c r="C58" s="24"/>
      <c r="D58" s="23"/>
    </row>
    <row r="59" spans="1:4" x14ac:dyDescent="0.2">
      <c r="A59" s="24"/>
      <c r="B59" s="23"/>
      <c r="C59" s="24"/>
      <c r="D59" s="23"/>
    </row>
    <row r="60" spans="1:4" x14ac:dyDescent="0.2">
      <c r="A60" s="24"/>
      <c r="B60" s="23"/>
      <c r="C60" s="24"/>
      <c r="D60" s="23"/>
    </row>
    <row r="61" spans="1:4" x14ac:dyDescent="0.2">
      <c r="A61" s="24"/>
      <c r="B61" s="23"/>
      <c r="C61" s="24"/>
      <c r="D61" s="23"/>
    </row>
    <row r="62" spans="1:4" x14ac:dyDescent="0.2">
      <c r="A62" s="24"/>
      <c r="B62" s="23"/>
      <c r="C62" s="24"/>
      <c r="D62" s="23"/>
    </row>
    <row r="63" spans="1:4" x14ac:dyDescent="0.2">
      <c r="A63" s="24"/>
      <c r="B63" s="23"/>
      <c r="C63" s="24"/>
      <c r="D63" s="23"/>
    </row>
    <row r="64" spans="1:4" x14ac:dyDescent="0.2">
      <c r="A64" s="24"/>
      <c r="B64" s="23"/>
      <c r="C64" s="24"/>
      <c r="D64" s="23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FDC-6E03-9543-89C3-7F954A196C39}">
  <sheetPr codeName="Sheet4"/>
  <dimension ref="A1:N102"/>
  <sheetViews>
    <sheetView tabSelected="1" workbookViewId="0">
      <selection activeCell="G36" sqref="G36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0.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37" t="s">
        <v>49</v>
      </c>
      <c r="B3" s="38"/>
      <c r="C3" s="37" t="s">
        <v>10</v>
      </c>
      <c r="D3" s="38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48</v>
      </c>
      <c r="C4" s="18" t="s">
        <v>11</v>
      </c>
      <c r="D4" s="45" t="s">
        <v>48</v>
      </c>
      <c r="E4" s="29">
        <v>0.80071318397395785</v>
      </c>
      <c r="F4" s="30">
        <v>-13.261772993093556</v>
      </c>
      <c r="G4" s="19">
        <v>4</v>
      </c>
      <c r="H4" s="20">
        <v>4</v>
      </c>
      <c r="I4" s="21" t="str">
        <f>A3</f>
        <v>anchor</v>
      </c>
      <c r="L4" s="34"/>
      <c r="M4" s="31" cm="1">
        <f t="array" ref="M4">BDSNR(A5:A8,B5:B8,C5:C8,D5:D8)</f>
        <v>0.82476724825879344</v>
      </c>
      <c r="N4" s="32" cm="1">
        <f t="array" ref="N4">BDBR(A5:A40,B5:B40,C5:C40,D5:D40)</f>
        <v>-1.821032168030412</v>
      </c>
    </row>
    <row r="5" spans="1:14" x14ac:dyDescent="0.2">
      <c r="A5" s="39">
        <v>23597.567999999999</v>
      </c>
      <c r="B5" s="39">
        <v>94.328168000000005</v>
      </c>
      <c r="C5" s="44">
        <v>23786.78784375</v>
      </c>
      <c r="D5" s="39">
        <v>94.728696999999997</v>
      </c>
      <c r="G5" s="19">
        <v>4</v>
      </c>
      <c r="H5" s="20">
        <v>4</v>
      </c>
      <c r="I5" s="22" t="str">
        <f>C3</f>
        <v>Curve2</v>
      </c>
    </row>
    <row r="6" spans="1:14" x14ac:dyDescent="0.2">
      <c r="A6" s="39">
        <v>12299.616</v>
      </c>
      <c r="B6" s="39">
        <v>87.256803000000005</v>
      </c>
      <c r="C6" s="44">
        <v>12515.299031250001</v>
      </c>
      <c r="D6" s="39">
        <v>87.955744999999993</v>
      </c>
    </row>
    <row r="7" spans="1:14" x14ac:dyDescent="0.2">
      <c r="A7" s="39">
        <v>5346.7359999999999</v>
      </c>
      <c r="B7" s="39">
        <v>71.620520999999997</v>
      </c>
      <c r="C7" s="44">
        <v>5502.5619374999997</v>
      </c>
      <c r="D7" s="39">
        <v>73.442661999999999</v>
      </c>
    </row>
    <row r="8" spans="1:14" x14ac:dyDescent="0.2">
      <c r="A8" s="39">
        <v>1775.28</v>
      </c>
      <c r="B8" s="39">
        <v>47.886771000000003</v>
      </c>
      <c r="C8" s="44">
        <v>1818.5279062499999</v>
      </c>
      <c r="D8" s="39">
        <v>48.703248000000002</v>
      </c>
    </row>
    <row r="9" spans="1:14" x14ac:dyDescent="0.2">
      <c r="A9" s="39">
        <v>510.71999999999997</v>
      </c>
      <c r="B9" s="39">
        <v>22.933487</v>
      </c>
      <c r="C9" s="44">
        <v>578.20875000000001</v>
      </c>
      <c r="D9" s="39">
        <v>23.321462</v>
      </c>
    </row>
    <row r="10" spans="1:14" x14ac:dyDescent="0.2">
      <c r="A10" s="39">
        <v>40619.792000000001</v>
      </c>
      <c r="B10" s="39">
        <v>97.232917999999998</v>
      </c>
      <c r="C10" s="44">
        <v>40754.619234375001</v>
      </c>
      <c r="D10" s="39">
        <v>97.226916000000003</v>
      </c>
    </row>
    <row r="11" spans="1:14" x14ac:dyDescent="0.2">
      <c r="A11" s="39">
        <v>10366.848</v>
      </c>
      <c r="B11" s="39">
        <v>95.216457000000005</v>
      </c>
      <c r="C11" s="44">
        <v>10563.53615625</v>
      </c>
      <c r="D11" s="39">
        <v>95.349356999999998</v>
      </c>
    </row>
    <row r="12" spans="1:14" x14ac:dyDescent="0.2">
      <c r="A12" s="39">
        <v>5114.5280000000002</v>
      </c>
      <c r="B12" s="39">
        <v>90.391575000000003</v>
      </c>
      <c r="C12" s="44">
        <v>5263.0313437499999</v>
      </c>
      <c r="D12" s="39">
        <v>91.183346999999998</v>
      </c>
    </row>
    <row r="13" spans="1:14" x14ac:dyDescent="0.2">
      <c r="A13" s="39">
        <v>2591.5839999999998</v>
      </c>
      <c r="B13" s="39">
        <v>80.244320999999999</v>
      </c>
      <c r="C13" s="44">
        <v>2695.5217499999999</v>
      </c>
      <c r="D13" s="39">
        <v>82.359718999999998</v>
      </c>
    </row>
    <row r="14" spans="1:14" x14ac:dyDescent="0.2">
      <c r="A14" s="39">
        <v>1243.2639999999999</v>
      </c>
      <c r="B14" s="39">
        <v>61.902138000000001</v>
      </c>
      <c r="C14" s="44">
        <v>1272.4691250000001</v>
      </c>
      <c r="D14" s="39">
        <v>64.650739000000002</v>
      </c>
    </row>
    <row r="15" spans="1:14" x14ac:dyDescent="0.2">
      <c r="A15" s="39">
        <v>609.72800000000007</v>
      </c>
      <c r="B15" s="39">
        <v>34.128653</v>
      </c>
      <c r="C15" s="44">
        <v>644.32987500000002</v>
      </c>
      <c r="D15" s="39">
        <v>36.473950000000002</v>
      </c>
    </row>
    <row r="16" spans="1:14" x14ac:dyDescent="0.2">
      <c r="A16" s="39">
        <v>22550.080000000002</v>
      </c>
      <c r="B16" s="39">
        <v>97.074610000000007</v>
      </c>
      <c r="C16" s="44">
        <v>22686.752296875002</v>
      </c>
      <c r="D16" s="39">
        <v>97.054080999999996</v>
      </c>
    </row>
    <row r="17" spans="1:4" x14ac:dyDescent="0.2">
      <c r="A17" s="39">
        <v>12624.032000000001</v>
      </c>
      <c r="B17" s="39">
        <v>95.350516999999996</v>
      </c>
      <c r="C17" s="44">
        <v>12854.590640625</v>
      </c>
      <c r="D17" s="39">
        <v>95.434669</v>
      </c>
    </row>
    <row r="18" spans="1:4" x14ac:dyDescent="0.2">
      <c r="A18" s="39">
        <v>6713.3119999999999</v>
      </c>
      <c r="B18" s="39">
        <v>90.249323000000004</v>
      </c>
      <c r="C18" s="44">
        <v>6900.9308437500003</v>
      </c>
      <c r="D18" s="39">
        <v>91.296570000000003</v>
      </c>
    </row>
    <row r="19" spans="1:4" x14ac:dyDescent="0.2">
      <c r="A19" s="39">
        <v>3600.96</v>
      </c>
      <c r="B19" s="39">
        <v>79.990814</v>
      </c>
      <c r="C19" s="44">
        <v>3738.6819375</v>
      </c>
      <c r="D19" s="39">
        <v>82.597618999999995</v>
      </c>
    </row>
    <row r="20" spans="1:4" x14ac:dyDescent="0.2">
      <c r="A20" s="39">
        <v>1789.2159999999999</v>
      </c>
      <c r="B20" s="39">
        <v>61.442794999999997</v>
      </c>
      <c r="C20" s="44">
        <v>1826.12671875</v>
      </c>
      <c r="D20" s="39">
        <v>64.128146000000001</v>
      </c>
    </row>
    <row r="21" spans="1:4" x14ac:dyDescent="0.2">
      <c r="A21" s="39">
        <v>800.44799999999998</v>
      </c>
      <c r="B21" s="39">
        <v>37.244807999999999</v>
      </c>
      <c r="C21" s="44">
        <v>834.58040625000001</v>
      </c>
      <c r="D21" s="39">
        <v>37.093620999999999</v>
      </c>
    </row>
    <row r="22" spans="1:4" x14ac:dyDescent="0.2">
      <c r="A22" s="39">
        <v>24497.727999999999</v>
      </c>
      <c r="B22" s="39">
        <v>97.181183000000004</v>
      </c>
      <c r="C22" s="44">
        <v>24661.898015625</v>
      </c>
      <c r="D22" s="39">
        <v>97.159941000000003</v>
      </c>
    </row>
    <row r="23" spans="1:4" x14ac:dyDescent="0.2">
      <c r="A23" s="39">
        <v>12588.191999999999</v>
      </c>
      <c r="B23" s="39">
        <v>95.222364999999996</v>
      </c>
      <c r="C23" s="44">
        <v>12835.815375</v>
      </c>
      <c r="D23" s="39">
        <v>95.477151000000006</v>
      </c>
    </row>
    <row r="24" spans="1:4" x14ac:dyDescent="0.2">
      <c r="A24" s="39">
        <v>6823.3919999999998</v>
      </c>
      <c r="B24" s="39">
        <v>88.350785000000002</v>
      </c>
      <c r="C24" s="44">
        <v>7057.9327499999999</v>
      </c>
      <c r="D24" s="39">
        <v>89.615705000000005</v>
      </c>
    </row>
    <row r="25" spans="1:4" x14ac:dyDescent="0.2">
      <c r="A25" s="39">
        <v>3533.9520000000002</v>
      </c>
      <c r="B25" s="39">
        <v>74.067250999999999</v>
      </c>
      <c r="C25" s="44">
        <v>3688.446375</v>
      </c>
      <c r="D25" s="39">
        <v>76.869021000000004</v>
      </c>
    </row>
    <row r="26" spans="1:4" x14ac:dyDescent="0.2">
      <c r="A26" s="39">
        <v>1496.096</v>
      </c>
      <c r="B26" s="39">
        <v>49.533769999999997</v>
      </c>
      <c r="C26" s="44">
        <v>1529.6823750000001</v>
      </c>
      <c r="D26" s="39">
        <v>51.267462999999999</v>
      </c>
    </row>
    <row r="27" spans="1:4" x14ac:dyDescent="0.2">
      <c r="A27" s="39">
        <v>477.34399999999999</v>
      </c>
      <c r="B27" s="39">
        <v>18.611941000000002</v>
      </c>
      <c r="C27" s="44">
        <v>516.86775</v>
      </c>
      <c r="D27" s="39">
        <v>19.674892</v>
      </c>
    </row>
    <row r="28" spans="1:4" x14ac:dyDescent="0.2">
      <c r="A28" s="39">
        <v>26689.759999999998</v>
      </c>
      <c r="B28" s="39">
        <v>98.253112999999999</v>
      </c>
      <c r="C28" s="44">
        <v>26820.58425</v>
      </c>
      <c r="D28" s="39">
        <v>98.168814999999995</v>
      </c>
    </row>
    <row r="29" spans="1:4" x14ac:dyDescent="0.2">
      <c r="A29" s="39">
        <v>11559.296</v>
      </c>
      <c r="B29" s="39">
        <v>95.164319000000006</v>
      </c>
      <c r="C29" s="44">
        <v>11825.026593750001</v>
      </c>
      <c r="D29" s="39">
        <v>95.446267000000006</v>
      </c>
    </row>
    <row r="30" spans="1:4" x14ac:dyDescent="0.2">
      <c r="A30" s="39">
        <v>5637.8240000000005</v>
      </c>
      <c r="B30" s="39">
        <v>89.648747999999998</v>
      </c>
      <c r="C30" s="44">
        <v>5906.0406562500002</v>
      </c>
      <c r="D30" s="39">
        <v>90.813942999999995</v>
      </c>
    </row>
    <row r="31" spans="1:4" x14ac:dyDescent="0.2">
      <c r="A31" s="39">
        <v>2754.4320000000002</v>
      </c>
      <c r="B31" s="39">
        <v>77.705034999999995</v>
      </c>
      <c r="C31" s="44">
        <v>2941.0383750000001</v>
      </c>
      <c r="D31" s="39">
        <v>80.650380999999996</v>
      </c>
    </row>
    <row r="32" spans="1:4" x14ac:dyDescent="0.2">
      <c r="A32" s="39">
        <v>1349.9839999999999</v>
      </c>
      <c r="B32" s="39">
        <v>60.185738999999998</v>
      </c>
      <c r="C32" s="44">
        <v>1396.0074374999999</v>
      </c>
      <c r="D32" s="39">
        <v>62.402768000000002</v>
      </c>
    </row>
    <row r="33" spans="1:4" x14ac:dyDescent="0.2">
      <c r="A33" s="39">
        <v>611.74400000000003</v>
      </c>
      <c r="B33" s="39">
        <v>34.915126999999998</v>
      </c>
      <c r="C33" s="44">
        <v>659.00212499999998</v>
      </c>
      <c r="D33" s="39">
        <v>36.930630999999998</v>
      </c>
    </row>
    <row r="34" spans="1:4" x14ac:dyDescent="0.2">
      <c r="A34" s="39">
        <v>24528.863999999998</v>
      </c>
      <c r="B34" s="39">
        <v>97.296268999999995</v>
      </c>
      <c r="C34" s="44">
        <v>24728.932828124998</v>
      </c>
      <c r="D34" s="39">
        <v>97.295554999999993</v>
      </c>
    </row>
    <row r="35" spans="1:4" x14ac:dyDescent="0.2">
      <c r="A35" s="39">
        <v>14679.824000000001</v>
      </c>
      <c r="B35" s="39">
        <v>98.927204000000003</v>
      </c>
      <c r="C35" s="44">
        <v>14952.881203125</v>
      </c>
      <c r="D35" s="39">
        <v>99.044658999999996</v>
      </c>
    </row>
    <row r="36" spans="1:4" x14ac:dyDescent="0.2">
      <c r="A36" s="39">
        <v>8066.5439999999999</v>
      </c>
      <c r="B36" s="39">
        <v>97.944618000000006</v>
      </c>
      <c r="C36" s="44">
        <v>8366.4903281250008</v>
      </c>
      <c r="D36" s="39">
        <v>98.172281999999996</v>
      </c>
    </row>
    <row r="37" spans="1:4" x14ac:dyDescent="0.2">
      <c r="A37" s="39">
        <v>4166.384</v>
      </c>
      <c r="B37" s="39">
        <v>87.060986</v>
      </c>
      <c r="C37" s="44">
        <v>4389.348</v>
      </c>
      <c r="D37" s="39">
        <v>89.312158999999994</v>
      </c>
    </row>
    <row r="38" spans="1:4" x14ac:dyDescent="0.2">
      <c r="A38" s="39">
        <v>1944.72</v>
      </c>
      <c r="B38" s="39">
        <v>66.532539999999997</v>
      </c>
      <c r="C38" s="44">
        <v>2020.4539687500001</v>
      </c>
      <c r="D38" s="39">
        <v>68.287279999999996</v>
      </c>
    </row>
    <row r="39" spans="1:4" x14ac:dyDescent="0.2">
      <c r="A39" s="39">
        <v>864.56</v>
      </c>
      <c r="B39" s="39">
        <v>44.158042999999999</v>
      </c>
      <c r="C39" s="44">
        <v>937.18528125</v>
      </c>
      <c r="D39" s="39">
        <v>43.925773</v>
      </c>
    </row>
    <row r="40" spans="1:4" x14ac:dyDescent="0.2">
      <c r="A40" s="39">
        <v>26131.263999999999</v>
      </c>
      <c r="B40" s="39">
        <v>99.317110999999997</v>
      </c>
      <c r="C40" s="44">
        <v>26340.761296875</v>
      </c>
      <c r="D40" s="39">
        <v>99.329795000000004</v>
      </c>
    </row>
    <row r="41" spans="1:4" x14ac:dyDescent="0.2">
      <c r="A41" s="24"/>
      <c r="B41" s="23"/>
      <c r="C41" s="24"/>
      <c r="D41" s="23"/>
    </row>
    <row r="42" spans="1:4" x14ac:dyDescent="0.2">
      <c r="A42" s="24"/>
      <c r="B42" s="23"/>
      <c r="C42" s="24"/>
      <c r="D42" s="23"/>
    </row>
    <row r="43" spans="1:4" x14ac:dyDescent="0.2">
      <c r="A43" s="24"/>
      <c r="B43" s="23"/>
      <c r="C43" s="24"/>
      <c r="D43" s="23"/>
    </row>
    <row r="44" spans="1:4" x14ac:dyDescent="0.2">
      <c r="A44" s="24"/>
      <c r="B44" s="23"/>
      <c r="C44" s="24"/>
      <c r="D44" s="23"/>
    </row>
    <row r="45" spans="1:4" x14ac:dyDescent="0.2">
      <c r="A45" s="24"/>
      <c r="B45" s="23"/>
      <c r="C45" s="24"/>
      <c r="D45" s="23"/>
    </row>
    <row r="46" spans="1:4" x14ac:dyDescent="0.2">
      <c r="A46" s="24"/>
      <c r="B46" s="23"/>
      <c r="C46" s="24"/>
      <c r="D46" s="23"/>
    </row>
    <row r="47" spans="1:4" x14ac:dyDescent="0.2">
      <c r="A47" s="24"/>
      <c r="B47" s="23"/>
      <c r="C47" s="24"/>
      <c r="D47" s="23"/>
    </row>
    <row r="48" spans="1:4" x14ac:dyDescent="0.2">
      <c r="A48" s="24"/>
      <c r="B48" s="23"/>
      <c r="C48" s="24"/>
      <c r="D48" s="23"/>
    </row>
    <row r="49" spans="1:4" x14ac:dyDescent="0.2">
      <c r="A49" s="24"/>
      <c r="B49" s="23"/>
      <c r="C49" s="24"/>
      <c r="D49" s="23"/>
    </row>
    <row r="50" spans="1:4" x14ac:dyDescent="0.2">
      <c r="A50" s="24"/>
      <c r="B50" s="23"/>
      <c r="C50" s="24"/>
      <c r="D50" s="23"/>
    </row>
    <row r="51" spans="1:4" x14ac:dyDescent="0.2">
      <c r="A51" s="24"/>
      <c r="B51" s="23"/>
      <c r="C51" s="24"/>
      <c r="D51" s="23"/>
    </row>
    <row r="52" spans="1:4" x14ac:dyDescent="0.2">
      <c r="A52" s="24"/>
      <c r="B52" s="23"/>
      <c r="C52" s="24"/>
      <c r="D52" s="23"/>
    </row>
    <row r="53" spans="1:4" x14ac:dyDescent="0.2">
      <c r="A53" s="24"/>
      <c r="B53" s="23"/>
      <c r="C53" s="24"/>
      <c r="D53" s="23"/>
    </row>
    <row r="54" spans="1:4" x14ac:dyDescent="0.2">
      <c r="A54" s="24"/>
      <c r="B54" s="23"/>
      <c r="C54" s="24"/>
      <c r="D54" s="23"/>
    </row>
    <row r="55" spans="1:4" x14ac:dyDescent="0.2">
      <c r="A55" s="24"/>
      <c r="B55" s="23"/>
      <c r="C55" s="24"/>
      <c r="D55" s="23"/>
    </row>
    <row r="56" spans="1:4" x14ac:dyDescent="0.2">
      <c r="A56" s="24"/>
      <c r="B56" s="23"/>
      <c r="C56" s="24"/>
      <c r="D56" s="23"/>
    </row>
    <row r="57" spans="1:4" x14ac:dyDescent="0.2">
      <c r="A57" s="24"/>
      <c r="B57" s="23"/>
      <c r="C57" s="24"/>
      <c r="D57" s="23"/>
    </row>
    <row r="58" spans="1:4" x14ac:dyDescent="0.2">
      <c r="A58" s="24"/>
      <c r="B58" s="23"/>
      <c r="C58" s="24"/>
      <c r="D58" s="23"/>
    </row>
    <row r="59" spans="1:4" x14ac:dyDescent="0.2">
      <c r="A59" s="24"/>
      <c r="B59" s="23"/>
      <c r="C59" s="24"/>
      <c r="D59" s="23"/>
    </row>
    <row r="60" spans="1:4" x14ac:dyDescent="0.2">
      <c r="A60" s="24"/>
      <c r="B60" s="23"/>
      <c r="C60" s="24"/>
      <c r="D60" s="23"/>
    </row>
    <row r="61" spans="1:4" x14ac:dyDescent="0.2">
      <c r="A61" s="24"/>
      <c r="B61" s="23"/>
      <c r="C61" s="24"/>
      <c r="D61" s="23"/>
    </row>
    <row r="62" spans="1:4" x14ac:dyDescent="0.2">
      <c r="A62" s="24"/>
      <c r="B62" s="23"/>
      <c r="C62" s="24"/>
      <c r="D62" s="23"/>
    </row>
    <row r="63" spans="1:4" x14ac:dyDescent="0.2">
      <c r="A63" s="24"/>
      <c r="B63" s="23"/>
      <c r="C63" s="24"/>
      <c r="D63" s="23"/>
    </row>
    <row r="64" spans="1:4" x14ac:dyDescent="0.2">
      <c r="A64" s="24"/>
      <c r="B64" s="23"/>
      <c r="C64" s="24"/>
      <c r="D64" s="23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VCEG-M33-PSNR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2023-01-29T22:28:55Z</dcterms:modified>
</cp:coreProperties>
</file>