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carsala/Documents/MATLAB/1. thesis/Resultados/BD-Rate/"/>
    </mc:Choice>
  </mc:AlternateContent>
  <xr:revisionPtr revIDLastSave="0" documentId="13_ncr:1_{92334C52-EA3D-E346-9F04-DC14B8B9FF00}" xr6:coauthVersionLast="47" xr6:coauthVersionMax="47" xr10:uidLastSave="{00000000-0000-0000-0000-000000000000}"/>
  <bookViews>
    <workbookView xWindow="0" yWindow="680" windowWidth="29920" windowHeight="17700" activeTab="2" xr2:uid="{00000000-000D-0000-FFFF-FFFF00000000}"/>
  </bookViews>
  <sheets>
    <sheet name="License and usage" sheetId="3" r:id="rId1"/>
    <sheet name="ETRO Example 9-points" sheetId="1" r:id="rId2"/>
    <sheet name="Verification with VCEG-M33" sheetId="2" r:id="rId3"/>
    <sheet name="Verification with VCEG-M33 VMAF" sheetId="4" r:id="rId4"/>
  </sheets>
  <functionGroups builtInGroupCount="19"/>
  <definedNames>
    <definedName name="psnr1" localSheetId="2">OFFSET('Verification with VCEG-M33'!$C$5, 0, 0, COUNTA('Verification with VCEG-M33'!$C$5:$C$101), 1)</definedName>
    <definedName name="psnr1" localSheetId="3">OFFSET('Verification with VCEG-M33 VMAF'!$C$5, 0, 0, COUNTA('Verification with VCEG-M33 VMAF'!$C$5:$C$101), 1)</definedName>
    <definedName name="psnr2" localSheetId="2">OFFSET('Verification with VCEG-M33'!$G$5, 0, 0, COUNTA('Verification with VCEG-M33'!$G$5:$G$101), 1)</definedName>
    <definedName name="psnr2" localSheetId="3">OFFSET('Verification with VCEG-M33 VMAF'!$G$5, 0, 0, COUNTA('Verification with VCEG-M33 VMAF'!$G$5:$G$101), 1)</definedName>
    <definedName name="rates1" localSheetId="2">OFFSET('Verification with VCEG-M33'!$B$5, 0, 0, COUNTA('Verification with VCEG-M33'!$B$5:$B$101), 1)</definedName>
    <definedName name="rates1" localSheetId="3">OFFSET('Verification with VCEG-M33 VMAF'!$B$5, 0, 0, COUNTA('Verification with VCEG-M33 VMAF'!$B$5:$B$101), 1)</definedName>
    <definedName name="rates2" localSheetId="2">OFFSET('Verification with VCEG-M33'!$F$5, 0, 0, COUNTA('Verification with VCEG-M33'!$F$5:$F$101), 1)</definedName>
    <definedName name="rates2" localSheetId="3">OFFSET('Verification with VCEG-M33 VMAF'!$F$5, 0, 0, COUNTA('Verification with VCEG-M33 VMAF'!$F$5:$F$101), 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3" i="2" l="1"/>
  <c r="F18" i="2"/>
  <c r="F17" i="2"/>
  <c r="F16" i="2"/>
  <c r="F15" i="2"/>
  <c r="F14" i="2"/>
  <c r="G34" i="2"/>
  <c r="F34" i="2"/>
  <c r="G33" i="2"/>
  <c r="F33" i="2"/>
  <c r="G32" i="2"/>
  <c r="F32" i="2"/>
  <c r="G31" i="2"/>
  <c r="F31" i="2"/>
  <c r="G30" i="2"/>
  <c r="F30" i="2"/>
  <c r="G29" i="2"/>
  <c r="F29" i="2"/>
  <c r="G26" i="2"/>
  <c r="F26" i="2"/>
  <c r="G25" i="2"/>
  <c r="F25" i="2"/>
  <c r="G24" i="2"/>
  <c r="F24" i="2"/>
  <c r="G23" i="2"/>
  <c r="F23" i="2"/>
  <c r="G22" i="2"/>
  <c r="F22" i="2"/>
  <c r="G21" i="2"/>
  <c r="F21" i="2"/>
  <c r="G18" i="2"/>
  <c r="G17" i="2"/>
  <c r="G16" i="2"/>
  <c r="G15" i="2"/>
  <c r="G14" i="2"/>
  <c r="G13" i="2"/>
  <c r="G10" i="4"/>
  <c r="F10" i="4"/>
  <c r="G9" i="4"/>
  <c r="F9" i="4"/>
  <c r="G8" i="4"/>
  <c r="F8" i="4"/>
  <c r="G7" i="4"/>
  <c r="F7" i="4"/>
  <c r="G6" i="4"/>
  <c r="F6" i="4"/>
  <c r="L5" i="4"/>
  <c r="G5" i="4"/>
  <c r="F5" i="4"/>
  <c r="L4" i="4"/>
  <c r="F7" i="2"/>
  <c r="G6" i="2"/>
  <c r="G7" i="2"/>
  <c r="G8" i="2"/>
  <c r="G9" i="2"/>
  <c r="G10" i="2"/>
  <c r="F6" i="2"/>
  <c r="F8" i="2"/>
  <c r="F9" i="2"/>
  <c r="F10" i="2"/>
  <c r="G5" i="2"/>
  <c r="F5" i="2"/>
  <c r="L5" i="2"/>
  <c r="L4" i="2"/>
  <c r="C3" i="1"/>
  <c r="C4" i="1"/>
  <c r="C5" i="1"/>
  <c r="C6" i="1"/>
  <c r="C7" i="1"/>
  <c r="C8" i="1"/>
  <c r="C9" i="1"/>
  <c r="C10" i="1"/>
  <c r="C11" i="1"/>
  <c r="P4" i="2" a="1"/>
  <c r="Q4" i="4" a="1"/>
  <c r="P4" i="4" a="1"/>
  <c r="I3" i="1" a="1"/>
  <c r="J3" i="1" a="1"/>
  <c r="Q4" i="2" a="1"/>
  <c r="Q4" i="2" l="1"/>
  <c r="P4" i="2"/>
  <c r="J3" i="1"/>
  <c r="I3" i="1"/>
  <c r="P4" i="4"/>
  <c r="Q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<sst xmlns="http://schemas.openxmlformats.org/spreadsheetml/2006/main" count="86" uniqueCount="53">
  <si>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</si>
  <si>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</si>
  <si>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</si>
  <si>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</si>
  <si>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</si>
  <si>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</si>
  <si>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</si>
  <si>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</si>
  <si>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</si>
  <si>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</si>
  <si>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</si>
  <si>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</si>
  <si>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</si>
  <si>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</si>
  <si>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</si>
  <si>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</si>
  <si>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</si>
  <si>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</si>
  <si>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</si>
  <si>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</si>
  <si>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</si>
  <si>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</si>
  <si>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</si>
  <si>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</si>
  <si>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</si>
  <si>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</si>
  <si>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</si>
  <si>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</si>
  <si>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</si>
  <si>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</si>
  <si>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</si>
  <si>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</si>
  <si>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</si>
  <si>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</si>
  <si>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</si>
  <si>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</si>
  <si>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</si>
  <si>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</si>
  <si>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</si>
  <si>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</si>
  <si>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</si>
  <si>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</si>
  <si>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</si>
  <si>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</si>
  <si>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</si>
  <si>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</si>
  <si>
    <t>Sparse</t>
  </si>
  <si>
    <t>AV2</t>
  </si>
  <si>
    <t>QP</t>
  </si>
  <si>
    <t>pnsr</t>
  </si>
  <si>
    <t>added bits</t>
  </si>
  <si>
    <t xml:space="preserve">1 atoms 32x32 downscaling </t>
  </si>
  <si>
    <t>1 atoms 32x32  solo dos coefficientes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</si>
</sst>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1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16" fillId="0" borderId="21" xfId="0" applyFont="1" applyBorder="1"/>
    <xf numFmtId="0" fontId="0" fillId="0" borderId="20" xfId="0" applyBorder="1" applyProtection="1">
      <protection locked="0"/>
    </xf>
    <xf numFmtId="0" fontId="0" fillId="0" borderId="0" xfId="0" applyProtection="1">
      <protection locked="0"/>
    </xf>
    <xf numFmtId="0" fontId="0" fillId="0" borderId="20" xfId="0" applyBorder="1"/>
    <xf numFmtId="0" fontId="16" fillId="0" borderId="22" xfId="0" applyFont="1" applyBorder="1"/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5" xfId="0" applyNumberFormat="1" applyFont="1" applyBorder="1"/>
    <xf numFmtId="164" fontId="23" fillId="0" borderId="26" xfId="0" applyNumberFormat="1" applyFont="1" applyBorder="1"/>
    <xf numFmtId="0" fontId="24" fillId="0" borderId="0" xfId="0" applyFont="1"/>
    <xf numFmtId="0" fontId="21" fillId="0" borderId="27" xfId="0" applyFont="1" applyBorder="1" applyAlignment="1">
      <alignment horizontal="left" vertical="center"/>
    </xf>
    <xf numFmtId="2" fontId="0" fillId="0" borderId="19" xfId="0" applyNumberFormat="1" applyBorder="1"/>
    <xf numFmtId="2" fontId="25" fillId="0" borderId="19" xfId="0" applyNumberFormat="1" applyFont="1" applyBorder="1"/>
    <xf numFmtId="0" fontId="0" fillId="0" borderId="19" xfId="0" applyBorder="1"/>
    <xf numFmtId="0" fontId="16" fillId="0" borderId="28" xfId="0" applyFont="1" applyBorder="1" applyAlignment="1">
      <alignment horizontal="center"/>
    </xf>
    <xf numFmtId="0" fontId="0" fillId="33" borderId="19" xfId="0" applyFill="1" applyBorder="1"/>
    <xf numFmtId="2" fontId="25" fillId="33" borderId="19" xfId="0" applyNumberFormat="1" applyFont="1" applyFill="1" applyBorder="1"/>
    <xf numFmtId="2" fontId="0" fillId="33" borderId="19" xfId="0" applyNumberFormat="1" applyFill="1" applyBorder="1"/>
    <xf numFmtId="0" fontId="25" fillId="0" borderId="19" xfId="0" applyFont="1" applyBorder="1"/>
    <xf numFmtId="0" fontId="25" fillId="0" borderId="21" xfId="0" applyFont="1" applyBorder="1"/>
    <xf numFmtId="0" fontId="0" fillId="33" borderId="0" xfId="0" applyFill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25" fillId="33" borderId="16" xfId="0" applyFont="1" applyFill="1" applyBorder="1" applyAlignment="1">
      <alignment horizontal="center"/>
    </xf>
    <xf numFmtId="0" fontId="25" fillId="33" borderId="18" xfId="0" applyFont="1" applyFill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0504041361235E-2"/>
          <c:y val="1.4817632726647626E-2"/>
          <c:w val="0.84571694985495238"/>
          <c:h val="0.91452914130414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'Verification with VCEG-M33'!$B$3</c:f>
              <c:strCache>
                <c:ptCount val="1"/>
                <c:pt idx="0">
                  <c:v>AV2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VCEG-M33'!$B$5:$B$8</c:f>
              <c:numCache>
                <c:formatCode>General</c:formatCode>
                <c:ptCount val="4"/>
                <c:pt idx="0">
                  <c:v>23588.448</c:v>
                </c:pt>
                <c:pt idx="1">
                  <c:v>12290.592000000001</c:v>
                </c:pt>
                <c:pt idx="2">
                  <c:v>5336.9759999999997</c:v>
                </c:pt>
                <c:pt idx="3">
                  <c:v>1767.0239999999999</c:v>
                </c:pt>
              </c:numCache>
            </c:numRef>
          </c:xVal>
          <c:yVal>
            <c:numRef>
              <c:f>'Verification with VCEG-M33'!$C$5:$C$8</c:f>
              <c:numCache>
                <c:formatCode>General</c:formatCode>
                <c:ptCount val="4"/>
                <c:pt idx="0">
                  <c:v>39.202765999999997</c:v>
                </c:pt>
                <c:pt idx="1">
                  <c:v>34.455238000000001</c:v>
                </c:pt>
                <c:pt idx="2">
                  <c:v>30.123581000000001</c:v>
                </c:pt>
                <c:pt idx="3">
                  <c:v>26.514237999999999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VCEG-M33'!$F$3</c:f>
              <c:strCache>
                <c:ptCount val="1"/>
                <c:pt idx="0">
                  <c:v>Sparse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B05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VCEG-M33'!$F$5:$F$8</c:f>
              <c:numCache>
                <c:formatCode>0.00</c:formatCode>
                <c:ptCount val="4"/>
                <c:pt idx="0">
                  <c:v>23670.448</c:v>
                </c:pt>
                <c:pt idx="1">
                  <c:v>12367.592000000001</c:v>
                </c:pt>
                <c:pt idx="2">
                  <c:v>5408.9759999999997</c:v>
                </c:pt>
                <c:pt idx="3">
                  <c:v>1833.0239999999999</c:v>
                </c:pt>
              </c:numCache>
            </c:numRef>
          </c:xVal>
          <c:yVal>
            <c:numRef>
              <c:f>'Verification with VCEG-M33'!$G$5:$G$8</c:f>
              <c:numCache>
                <c:formatCode>0.00</c:formatCode>
                <c:ptCount val="4"/>
                <c:pt idx="0">
                  <c:v>39.220457000000003</c:v>
                </c:pt>
                <c:pt idx="1">
                  <c:v>34.476064999999998</c:v>
                </c:pt>
                <c:pt idx="2">
                  <c:v>30.154731000000002</c:v>
                </c:pt>
                <c:pt idx="3">
                  <c:v>26.559857999999998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0511811023621E-2"/>
          <c:y val="3.8067422423260923E-2"/>
          <c:w val="0.84571694985495238"/>
          <c:h val="0.91452914130414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'Verification with VCEG-M33 VMAF'!$B$3</c:f>
              <c:strCache>
                <c:ptCount val="1"/>
                <c:pt idx="0">
                  <c:v>AV2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VMAF'!$B$5:$B$8</c:f>
              <c:numCache>
                <c:formatCode>General</c:formatCode>
                <c:ptCount val="4"/>
                <c:pt idx="0">
                  <c:v>23588.448</c:v>
                </c:pt>
                <c:pt idx="1">
                  <c:v>12290.592000000001</c:v>
                </c:pt>
                <c:pt idx="2">
                  <c:v>5336.9759999999997</c:v>
                </c:pt>
                <c:pt idx="3">
                  <c:v>1767.0239999999999</c:v>
                </c:pt>
              </c:numCache>
            </c:numRef>
          </c:xVal>
          <c:yVal>
            <c:numRef>
              <c:f>'Verification with VCEG-M33 VMAF'!$C$5:$C$8</c:f>
              <c:numCache>
                <c:formatCode>General</c:formatCode>
                <c:ptCount val="4"/>
                <c:pt idx="0">
                  <c:v>94.459489000000005</c:v>
                </c:pt>
                <c:pt idx="1">
                  <c:v>86.954753999999994</c:v>
                </c:pt>
                <c:pt idx="2">
                  <c:v>71.213356000000005</c:v>
                </c:pt>
                <c:pt idx="3">
                  <c:v>46.839756999999999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8-4F4B-8F6B-957E1B8FDDFF}"/>
            </c:ext>
          </c:extLst>
        </c:ser>
        <c:ser>
          <c:idx val="1"/>
          <c:order val="1"/>
          <c:tx>
            <c:strRef>
              <c:f>'Verification with VCEG-M33 VMAF'!$F$3</c:f>
              <c:strCache>
                <c:ptCount val="1"/>
                <c:pt idx="0">
                  <c:v>Sparse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VMAF'!$F$5:$F$8</c:f>
              <c:numCache>
                <c:formatCode>0.00</c:formatCode>
                <c:ptCount val="4"/>
                <c:pt idx="0">
                  <c:v>23891.448</c:v>
                </c:pt>
                <c:pt idx="1">
                  <c:v>12585.592000000001</c:v>
                </c:pt>
                <c:pt idx="2">
                  <c:v>5603.9759999999997</c:v>
                </c:pt>
                <c:pt idx="3">
                  <c:v>1996.0239999999999</c:v>
                </c:pt>
              </c:numCache>
            </c:numRef>
          </c:xVal>
          <c:yVal>
            <c:numRef>
              <c:f>'Verification with VCEG-M33 VMAF'!$G$5:$G$8</c:f>
              <c:numCache>
                <c:formatCode>0.00</c:formatCode>
                <c:ptCount val="4"/>
                <c:pt idx="0">
                  <c:v>94.459489000000005</c:v>
                </c:pt>
                <c:pt idx="1">
                  <c:v>87.356100999999995</c:v>
                </c:pt>
                <c:pt idx="2">
                  <c:v>72.255944999999997</c:v>
                </c:pt>
                <c:pt idx="3">
                  <c:v>48.430570000000003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68-4F4B-8F6B-957E1B8FD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6</xdr:row>
      <xdr:rowOff>114300</xdr:rowOff>
    </xdr:from>
    <xdr:to>
      <xdr:col>23</xdr:col>
      <xdr:colOff>38100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6</xdr:row>
      <xdr:rowOff>114300</xdr:rowOff>
    </xdr:from>
    <xdr:to>
      <xdr:col>23</xdr:col>
      <xdr:colOff>38100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ABF53-40A2-184C-872E-91A53E221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/>
  </sheetViews>
  <sheetFormatPr baseColWidth="10" defaultColWidth="11.5" defaultRowHeight="15" x14ac:dyDescent="0.2"/>
  <sheetData>
    <row r="1" spans="1:5" x14ac:dyDescent="0.2">
      <c r="A1" s="1" t="s">
        <v>14</v>
      </c>
    </row>
    <row r="3" spans="1:5" x14ac:dyDescent="0.2">
      <c r="A3" s="1" t="s">
        <v>20</v>
      </c>
    </row>
    <row r="4" spans="1:5" x14ac:dyDescent="0.2">
      <c r="B4" t="s">
        <v>15</v>
      </c>
      <c r="E4" t="s">
        <v>16</v>
      </c>
    </row>
    <row r="5" spans="1:5" x14ac:dyDescent="0.2">
      <c r="B5" t="s">
        <v>17</v>
      </c>
      <c r="E5" t="s">
        <v>18</v>
      </c>
    </row>
    <row r="7" spans="1:5" x14ac:dyDescent="0.2">
      <c r="A7" s="1" t="s">
        <v>19</v>
      </c>
    </row>
    <row r="8" spans="1:5" x14ac:dyDescent="0.2">
      <c r="B8" t="s">
        <v>21</v>
      </c>
    </row>
    <row r="10" spans="1:5" x14ac:dyDescent="0.2">
      <c r="A10" s="1" t="s">
        <v>22</v>
      </c>
    </row>
    <row r="11" spans="1:5" x14ac:dyDescent="0.2">
      <c r="B11" t="s">
        <v>23</v>
      </c>
    </row>
    <row r="12" spans="1:5" x14ac:dyDescent="0.2">
      <c r="B12" t="s">
        <v>24</v>
      </c>
    </row>
    <row r="14" spans="1:5" x14ac:dyDescent="0.2">
      <c r="A14" s="33" t="s">
        <v>25</v>
      </c>
    </row>
    <row r="15" spans="1:5" x14ac:dyDescent="0.2">
      <c r="A15" s="33" t="s">
        <v>26</v>
      </c>
    </row>
    <row r="16" spans="1:5" x14ac:dyDescent="0.2">
      <c r="A16" s="33"/>
    </row>
    <row r="17" spans="1:1" x14ac:dyDescent="0.2">
      <c r="A17" s="33" t="s">
        <v>27</v>
      </c>
    </row>
    <row r="18" spans="1:1" x14ac:dyDescent="0.2">
      <c r="A18" s="33" t="s">
        <v>28</v>
      </c>
    </row>
    <row r="19" spans="1:1" x14ac:dyDescent="0.2">
      <c r="A19" s="33" t="s">
        <v>29</v>
      </c>
    </row>
    <row r="20" spans="1:1" x14ac:dyDescent="0.2">
      <c r="A20" s="33" t="s">
        <v>30</v>
      </c>
    </row>
    <row r="21" spans="1:1" x14ac:dyDescent="0.2">
      <c r="A21" s="33" t="s">
        <v>31</v>
      </c>
    </row>
    <row r="22" spans="1:1" x14ac:dyDescent="0.2">
      <c r="A22" s="33"/>
    </row>
    <row r="23" spans="1:1" x14ac:dyDescent="0.2">
      <c r="A23" t="s">
        <v>32</v>
      </c>
    </row>
    <row r="24" spans="1:1" x14ac:dyDescent="0.2">
      <c r="A24" t="s">
        <v>33</v>
      </c>
    </row>
    <row r="26" spans="1:1" x14ac:dyDescent="0.2">
      <c r="A26" t="s">
        <v>39</v>
      </c>
    </row>
    <row r="27" spans="1:1" x14ac:dyDescent="0.2">
      <c r="A27" t="s">
        <v>38</v>
      </c>
    </row>
    <row r="28" spans="1:1" x14ac:dyDescent="0.2">
      <c r="A28" t="s">
        <v>37</v>
      </c>
    </row>
    <row r="29" spans="1:1" x14ac:dyDescent="0.2">
      <c r="A29" t="s">
        <v>36</v>
      </c>
    </row>
    <row r="30" spans="1:1" x14ac:dyDescent="0.2">
      <c r="A30" t="s">
        <v>35</v>
      </c>
    </row>
    <row r="31" spans="1:1" x14ac:dyDescent="0.2">
      <c r="A31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46" t="s">
        <v>5</v>
      </c>
      <c r="B1" s="46"/>
      <c r="C1" s="5"/>
      <c r="D1" s="45" t="s">
        <v>1</v>
      </c>
      <c r="E1" s="45"/>
      <c r="F1" s="45" t="s">
        <v>2</v>
      </c>
      <c r="G1" s="45"/>
      <c r="H1" s="1"/>
      <c r="I1" s="9"/>
      <c r="J1" s="10"/>
    </row>
    <row r="2" spans="1:14" x14ac:dyDescent="0.2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2"/>
      <c r="I2" s="2" t="s">
        <v>45</v>
      </c>
      <c r="J2" s="2" t="s">
        <v>44</v>
      </c>
      <c r="K2" s="2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8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4"/>
      <c r="N4" s="7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4"/>
      <c r="N5" s="8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4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4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4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4"/>
      <c r="N9" s="8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4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4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02"/>
  <sheetViews>
    <sheetView tabSelected="1" zoomScale="108" zoomScaleNormal="120" workbookViewId="0">
      <selection activeCell="Q5" sqref="Q5"/>
    </sheetView>
  </sheetViews>
  <sheetFormatPr baseColWidth="10" defaultColWidth="8.83203125" defaultRowHeight="15" x14ac:dyDescent="0.2"/>
  <cols>
    <col min="2" max="2" width="14.83203125" customWidth="1"/>
    <col min="3" max="3" width="8" style="25" bestFit="1" customWidth="1"/>
    <col min="4" max="5" width="10.1640625" bestFit="1" customWidth="1"/>
    <col min="6" max="6" width="10" bestFit="1" customWidth="1"/>
    <col min="7" max="7" width="8" style="25" bestFit="1" customWidth="1"/>
    <col min="8" max="8" width="11.83203125" bestFit="1" customWidth="1"/>
    <col min="9" max="9" width="9.83203125" bestFit="1" customWidth="1"/>
    <col min="10" max="10" width="10.5" bestFit="1" customWidth="1"/>
    <col min="11" max="11" width="9" bestFit="1" customWidth="1"/>
    <col min="15" max="15" width="17" customWidth="1"/>
    <col min="16" max="16" width="10.5" bestFit="1" customWidth="1"/>
  </cols>
  <sheetData>
    <row r="1" spans="1:17" x14ac:dyDescent="0.2">
      <c r="B1" s="1" t="s">
        <v>12</v>
      </c>
      <c r="O1" s="1" t="s">
        <v>13</v>
      </c>
    </row>
    <row r="2" spans="1:17" ht="16" thickBot="1" x14ac:dyDescent="0.25"/>
    <row r="3" spans="1:17" x14ac:dyDescent="0.2">
      <c r="B3" s="47" t="s">
        <v>47</v>
      </c>
      <c r="C3" s="48"/>
      <c r="D3" s="38"/>
      <c r="E3" s="38"/>
      <c r="F3" s="47" t="s">
        <v>46</v>
      </c>
      <c r="G3" s="48"/>
      <c r="H3" s="11" t="s">
        <v>43</v>
      </c>
      <c r="I3" s="12" t="s">
        <v>42</v>
      </c>
      <c r="J3" s="11" t="s">
        <v>40</v>
      </c>
      <c r="K3" s="13" t="s">
        <v>41</v>
      </c>
      <c r="L3" s="14"/>
      <c r="M3" s="15"/>
      <c r="O3" s="26" t="s">
        <v>11</v>
      </c>
      <c r="P3" s="27" t="s">
        <v>43</v>
      </c>
      <c r="Q3" s="28" t="s">
        <v>42</v>
      </c>
    </row>
    <row r="4" spans="1:17" ht="17" thickBot="1" x14ac:dyDescent="0.25">
      <c r="A4" t="s">
        <v>48</v>
      </c>
      <c r="B4" s="16" t="s">
        <v>9</v>
      </c>
      <c r="C4" s="17" t="s">
        <v>10</v>
      </c>
      <c r="D4" s="18" t="s">
        <v>49</v>
      </c>
      <c r="E4" s="18" t="s">
        <v>50</v>
      </c>
      <c r="F4" s="18" t="s">
        <v>9</v>
      </c>
      <c r="G4" s="17" t="s">
        <v>10</v>
      </c>
      <c r="H4" s="29">
        <v>0.80071318397395785</v>
      </c>
      <c r="I4" s="30">
        <v>-13.261772993093556</v>
      </c>
      <c r="J4" s="19">
        <v>4</v>
      </c>
      <c r="K4" s="20">
        <v>4</v>
      </c>
      <c r="L4" s="21" t="str">
        <f>B3</f>
        <v>AV2</v>
      </c>
      <c r="O4" s="34"/>
      <c r="P4" s="31" cm="1">
        <f t="array" ref="P4">BDSNR(B5:B10,C5:C10,F5:F10,G5:G10)</f>
        <v>-4.3825247380535594E-2</v>
      </c>
      <c r="Q4" s="32" cm="1">
        <f t="array" ref="Q4">BDBR(B5:B10,C5:C10,F29:F34,G29:G34)</f>
        <v>-8.5345320528451563E-2</v>
      </c>
    </row>
    <row r="5" spans="1:17" ht="16" x14ac:dyDescent="0.2">
      <c r="A5">
        <v>110</v>
      </c>
      <c r="B5" s="37">
        <v>23588.448</v>
      </c>
      <c r="C5" s="37">
        <v>39.202765999999997</v>
      </c>
      <c r="D5" s="37">
        <v>39.220457000000003</v>
      </c>
      <c r="E5" s="37">
        <v>82</v>
      </c>
      <c r="F5" s="36">
        <f>B5+E5</f>
        <v>23670.448</v>
      </c>
      <c r="G5" s="35">
        <f>D5</f>
        <v>39.220457000000003</v>
      </c>
      <c r="J5" s="19">
        <v>4</v>
      </c>
      <c r="K5" s="20">
        <v>4</v>
      </c>
      <c r="L5" s="22" t="str">
        <f>F3</f>
        <v>Sparse</v>
      </c>
      <c r="Q5">
        <v>1.1120000000000001</v>
      </c>
    </row>
    <row r="6" spans="1:17" ht="16" x14ac:dyDescent="0.2">
      <c r="A6">
        <v>135</v>
      </c>
      <c r="B6" s="37">
        <v>12290.592000000001</v>
      </c>
      <c r="C6" s="37">
        <v>34.455238000000001</v>
      </c>
      <c r="D6" s="37">
        <v>34.476064999999998</v>
      </c>
      <c r="E6" s="35">
        <v>77</v>
      </c>
      <c r="F6" s="36">
        <f t="shared" ref="F6:F10" si="0">B6+E6</f>
        <v>12367.592000000001</v>
      </c>
      <c r="G6" s="35">
        <f t="shared" ref="G6:G10" si="1">D6</f>
        <v>34.476064999999998</v>
      </c>
    </row>
    <row r="7" spans="1:17" ht="16" x14ac:dyDescent="0.2">
      <c r="A7" s="44">
        <v>160</v>
      </c>
      <c r="B7" s="39">
        <v>5336.9759999999997</v>
      </c>
      <c r="C7" s="39">
        <v>30.123581000000001</v>
      </c>
      <c r="D7" s="39">
        <v>30.154731000000002</v>
      </c>
      <c r="E7" s="41">
        <v>72</v>
      </c>
      <c r="F7" s="40">
        <f t="shared" si="0"/>
        <v>5408.9759999999997</v>
      </c>
      <c r="G7" s="41">
        <f t="shared" si="1"/>
        <v>30.154731000000002</v>
      </c>
    </row>
    <row r="8" spans="1:17" ht="16" x14ac:dyDescent="0.2">
      <c r="A8" s="44">
        <v>185</v>
      </c>
      <c r="B8" s="39">
        <v>1767.0239999999999</v>
      </c>
      <c r="C8" s="39">
        <v>26.514237999999999</v>
      </c>
      <c r="D8" s="39">
        <v>26.559857999999998</v>
      </c>
      <c r="E8" s="39">
        <v>66</v>
      </c>
      <c r="F8" s="40">
        <f t="shared" si="0"/>
        <v>1833.0239999999999</v>
      </c>
      <c r="G8" s="41">
        <f t="shared" si="1"/>
        <v>26.559857999999998</v>
      </c>
    </row>
    <row r="9" spans="1:17" ht="16" x14ac:dyDescent="0.2">
      <c r="A9" s="44">
        <v>210</v>
      </c>
      <c r="B9" s="39">
        <v>510.24</v>
      </c>
      <c r="C9" s="39">
        <v>23.873588000000002</v>
      </c>
      <c r="D9" s="39">
        <v>23.925851000000002</v>
      </c>
      <c r="E9" s="41">
        <v>63</v>
      </c>
      <c r="F9" s="40">
        <f t="shared" si="0"/>
        <v>573.24</v>
      </c>
      <c r="G9" s="41">
        <f t="shared" si="1"/>
        <v>23.925851000000002</v>
      </c>
    </row>
    <row r="10" spans="1:17" ht="16" x14ac:dyDescent="0.2">
      <c r="A10">
        <v>85</v>
      </c>
      <c r="B10" s="37">
        <v>40611.504000000001</v>
      </c>
      <c r="C10" s="37">
        <v>44.222056000000002</v>
      </c>
      <c r="D10" s="37">
        <v>44.237133</v>
      </c>
      <c r="E10" s="35">
        <v>88</v>
      </c>
      <c r="F10" s="36">
        <f t="shared" si="0"/>
        <v>40699.504000000001</v>
      </c>
      <c r="G10" s="35">
        <f t="shared" si="1"/>
        <v>44.237133</v>
      </c>
    </row>
    <row r="11" spans="1:17" x14ac:dyDescent="0.2">
      <c r="B11" s="24"/>
      <c r="C11" s="23"/>
      <c r="D11" s="24"/>
      <c r="E11" s="24"/>
      <c r="F11" s="24"/>
      <c r="G11" s="23"/>
    </row>
    <row r="12" spans="1:17" ht="16" x14ac:dyDescent="0.2">
      <c r="B12" s="49" t="s">
        <v>51</v>
      </c>
      <c r="C12" s="50"/>
      <c r="D12" s="50"/>
      <c r="E12" s="24"/>
      <c r="F12" s="24"/>
      <c r="G12" s="23"/>
    </row>
    <row r="13" spans="1:17" ht="16" x14ac:dyDescent="0.2">
      <c r="A13" s="37">
        <v>110</v>
      </c>
      <c r="B13" s="37">
        <v>23597.567999999999</v>
      </c>
      <c r="C13" s="37">
        <v>39.344087000000002</v>
      </c>
      <c r="D13" s="37">
        <v>39.204028999999998</v>
      </c>
      <c r="E13" s="37">
        <v>3.3086000000000002</v>
      </c>
      <c r="F13" s="36">
        <f t="shared" ref="F13:F18" si="2">B5+E13</f>
        <v>23591.756600000001</v>
      </c>
      <c r="G13" s="35">
        <f>D13</f>
        <v>39.204028999999998</v>
      </c>
    </row>
    <row r="14" spans="1:17" ht="16" x14ac:dyDescent="0.2">
      <c r="A14" s="37">
        <v>135</v>
      </c>
      <c r="B14" s="37">
        <v>12299.616</v>
      </c>
      <c r="C14" s="37">
        <v>34.644840000000002</v>
      </c>
      <c r="D14" s="37">
        <v>34.457993999999999</v>
      </c>
      <c r="E14" s="35">
        <v>3.5449000000000002</v>
      </c>
      <c r="F14" s="36">
        <f t="shared" si="2"/>
        <v>12294.136900000001</v>
      </c>
      <c r="G14" s="35">
        <f t="shared" ref="G14:G18" si="3">D14</f>
        <v>34.457993999999999</v>
      </c>
    </row>
    <row r="15" spans="1:17" ht="16" x14ac:dyDescent="0.2">
      <c r="A15" s="37">
        <v>160</v>
      </c>
      <c r="B15" s="37">
        <v>5346.7359999999999</v>
      </c>
      <c r="C15" s="37">
        <v>30.240642000000001</v>
      </c>
      <c r="D15" s="37">
        <v>30.129379</v>
      </c>
      <c r="E15" s="35">
        <v>3.64</v>
      </c>
      <c r="F15" s="36">
        <f t="shared" si="2"/>
        <v>5340.616</v>
      </c>
      <c r="G15" s="35">
        <f t="shared" si="3"/>
        <v>30.129379</v>
      </c>
    </row>
    <row r="16" spans="1:17" ht="16" x14ac:dyDescent="0.2">
      <c r="A16" s="37">
        <v>185</v>
      </c>
      <c r="B16" s="37">
        <v>1775.28</v>
      </c>
      <c r="C16" s="37">
        <v>26.560022</v>
      </c>
      <c r="D16" s="37">
        <v>26.526121</v>
      </c>
      <c r="E16" s="37">
        <v>3.7</v>
      </c>
      <c r="F16" s="36">
        <f t="shared" si="2"/>
        <v>1770.7239999999999</v>
      </c>
      <c r="G16" s="35">
        <f t="shared" si="3"/>
        <v>26.526121</v>
      </c>
    </row>
    <row r="17" spans="1:7" ht="16" x14ac:dyDescent="0.2">
      <c r="A17" s="37">
        <v>210</v>
      </c>
      <c r="B17" s="37">
        <v>510.71999999999997</v>
      </c>
      <c r="C17" s="37">
        <v>23.875285000000002</v>
      </c>
      <c r="D17" s="37">
        <v>23.915199999999999</v>
      </c>
      <c r="E17" s="35">
        <v>23.915199999999999</v>
      </c>
      <c r="F17" s="36">
        <f t="shared" si="2"/>
        <v>534.15520000000004</v>
      </c>
      <c r="G17" s="35">
        <f t="shared" si="3"/>
        <v>23.915199999999999</v>
      </c>
    </row>
    <row r="18" spans="1:7" ht="16" x14ac:dyDescent="0.2">
      <c r="A18" s="37">
        <v>85</v>
      </c>
      <c r="B18" s="37">
        <v>40619.792000000001</v>
      </c>
      <c r="C18" s="37">
        <v>44.235928999999999</v>
      </c>
      <c r="D18" s="37">
        <v>44.279117999999997</v>
      </c>
      <c r="E18" s="35">
        <v>282</v>
      </c>
      <c r="F18" s="36">
        <f t="shared" si="2"/>
        <v>40893.504000000001</v>
      </c>
      <c r="G18" s="35">
        <f t="shared" si="3"/>
        <v>44.279117999999997</v>
      </c>
    </row>
    <row r="19" spans="1:7" x14ac:dyDescent="0.2">
      <c r="B19" s="24"/>
      <c r="C19" s="23"/>
      <c r="D19" s="24"/>
      <c r="E19" s="24"/>
      <c r="F19" s="24"/>
      <c r="G19" s="23"/>
    </row>
    <row r="20" spans="1:7" ht="16" x14ac:dyDescent="0.2">
      <c r="B20" s="49" t="s">
        <v>51</v>
      </c>
      <c r="C20" s="50"/>
      <c r="D20" s="50"/>
      <c r="E20" s="24"/>
      <c r="F20" s="24"/>
      <c r="G20" s="23"/>
    </row>
    <row r="21" spans="1:7" ht="16" x14ac:dyDescent="0.2">
      <c r="A21" s="37">
        <v>110</v>
      </c>
      <c r="B21" s="37">
        <v>23588.448</v>
      </c>
      <c r="C21" s="37">
        <v>39.202765999999997</v>
      </c>
      <c r="D21" s="37">
        <v>39.211883999999998</v>
      </c>
      <c r="E21" s="37">
        <v>73</v>
      </c>
      <c r="F21" s="36">
        <f>B21+E21</f>
        <v>23661.448</v>
      </c>
      <c r="G21" s="35">
        <f>D21</f>
        <v>39.211883999999998</v>
      </c>
    </row>
    <row r="22" spans="1:7" ht="16" x14ac:dyDescent="0.2">
      <c r="A22" s="37">
        <v>135</v>
      </c>
      <c r="B22" s="37">
        <v>12290.592000000001</v>
      </c>
      <c r="C22" s="37">
        <v>34.455238000000001</v>
      </c>
      <c r="D22" s="37">
        <v>34.472515000000001</v>
      </c>
      <c r="E22" s="35">
        <v>75</v>
      </c>
      <c r="F22" s="36">
        <f t="shared" ref="F22:F26" si="4">B22+E22</f>
        <v>12365.592000000001</v>
      </c>
      <c r="G22" s="35">
        <f t="shared" ref="G22:G26" si="5">D22</f>
        <v>34.472515000000001</v>
      </c>
    </row>
    <row r="23" spans="1:7" ht="16" x14ac:dyDescent="0.2">
      <c r="A23" s="37">
        <v>160</v>
      </c>
      <c r="B23" s="37">
        <v>5336.9759999999997</v>
      </c>
      <c r="C23" s="37">
        <v>30.123581000000001</v>
      </c>
      <c r="D23" s="37">
        <v>30.14526</v>
      </c>
      <c r="E23" s="35">
        <v>66</v>
      </c>
      <c r="F23" s="36">
        <f t="shared" si="4"/>
        <v>5402.9759999999997</v>
      </c>
      <c r="G23" s="35">
        <f t="shared" si="5"/>
        <v>30.14526</v>
      </c>
    </row>
    <row r="24" spans="1:7" ht="16" x14ac:dyDescent="0.2">
      <c r="A24" s="37">
        <v>185</v>
      </c>
      <c r="B24" s="37">
        <v>1767.0239999999999</v>
      </c>
      <c r="C24" s="37">
        <v>26.514237999999999</v>
      </c>
      <c r="D24" s="37">
        <v>26.560444</v>
      </c>
      <c r="E24" s="37">
        <v>64</v>
      </c>
      <c r="F24" s="36">
        <f t="shared" si="4"/>
        <v>1831.0239999999999</v>
      </c>
      <c r="G24" s="35">
        <f t="shared" si="5"/>
        <v>26.560444</v>
      </c>
    </row>
    <row r="25" spans="1:7" ht="16" x14ac:dyDescent="0.2">
      <c r="A25" s="37">
        <v>210</v>
      </c>
      <c r="B25" s="37">
        <v>510.24</v>
      </c>
      <c r="C25" s="37">
        <v>23.873588000000002</v>
      </c>
      <c r="D25" s="37">
        <v>23.954989999999999</v>
      </c>
      <c r="E25" s="35">
        <v>62</v>
      </c>
      <c r="F25" s="36">
        <f t="shared" si="4"/>
        <v>572.24</v>
      </c>
      <c r="G25" s="35">
        <f t="shared" si="5"/>
        <v>23.954989999999999</v>
      </c>
    </row>
    <row r="26" spans="1:7" ht="16" x14ac:dyDescent="0.2">
      <c r="A26" s="37">
        <v>85</v>
      </c>
      <c r="B26" s="37">
        <v>40611.504000000001</v>
      </c>
      <c r="C26" s="37">
        <v>44.222056000000002</v>
      </c>
      <c r="D26" s="37">
        <v>44.225828</v>
      </c>
      <c r="E26" s="35">
        <v>65</v>
      </c>
      <c r="F26" s="36">
        <f t="shared" si="4"/>
        <v>40676.504000000001</v>
      </c>
      <c r="G26" s="35">
        <f t="shared" si="5"/>
        <v>44.225828</v>
      </c>
    </row>
    <row r="27" spans="1:7" x14ac:dyDescent="0.2">
      <c r="B27" s="24"/>
      <c r="C27" s="23"/>
      <c r="D27" s="24"/>
      <c r="E27" s="24"/>
      <c r="F27" s="24"/>
      <c r="G27" s="23"/>
    </row>
    <row r="28" spans="1:7" ht="16" x14ac:dyDescent="0.2">
      <c r="B28" s="49" t="s">
        <v>52</v>
      </c>
      <c r="C28" s="50"/>
      <c r="D28" s="50"/>
      <c r="E28" s="24"/>
      <c r="F28" s="24"/>
      <c r="G28" s="23"/>
    </row>
    <row r="29" spans="1:7" ht="16" x14ac:dyDescent="0.2">
      <c r="A29" s="37">
        <v>110</v>
      </c>
      <c r="B29" s="37">
        <v>23588.448</v>
      </c>
      <c r="C29" s="37">
        <v>39.202765999999997</v>
      </c>
      <c r="D29" s="37">
        <v>39.204028999999998</v>
      </c>
      <c r="E29" s="37">
        <v>3.3086000000000002</v>
      </c>
      <c r="F29" s="36">
        <f>B29+E29</f>
        <v>23591.756600000001</v>
      </c>
      <c r="G29" s="35">
        <f>D29</f>
        <v>39.204028999999998</v>
      </c>
    </row>
    <row r="30" spans="1:7" ht="16" x14ac:dyDescent="0.2">
      <c r="A30" s="37">
        <v>135</v>
      </c>
      <c r="B30" s="37">
        <v>12290.592000000001</v>
      </c>
      <c r="C30" s="37">
        <v>34.455238000000001</v>
      </c>
      <c r="D30" s="37">
        <v>34.457993999999999</v>
      </c>
      <c r="E30" s="35">
        <v>3.5449000000000002</v>
      </c>
      <c r="F30" s="36">
        <f t="shared" ref="F30:F34" si="6">B30+E30</f>
        <v>12294.136900000001</v>
      </c>
      <c r="G30" s="35">
        <f t="shared" ref="G30:G34" si="7">D30</f>
        <v>34.457993999999999</v>
      </c>
    </row>
    <row r="31" spans="1:7" ht="16" x14ac:dyDescent="0.2">
      <c r="A31" s="37">
        <v>160</v>
      </c>
      <c r="B31" s="37">
        <v>5336.9759999999997</v>
      </c>
      <c r="C31" s="37">
        <v>30.123581000000001</v>
      </c>
      <c r="D31" s="37">
        <v>30.129379</v>
      </c>
      <c r="E31" s="35">
        <v>3.64</v>
      </c>
      <c r="F31" s="36">
        <f t="shared" si="6"/>
        <v>5340.616</v>
      </c>
      <c r="G31" s="35">
        <f t="shared" si="7"/>
        <v>30.129379</v>
      </c>
    </row>
    <row r="32" spans="1:7" ht="16" x14ac:dyDescent="0.2">
      <c r="A32" s="37">
        <v>185</v>
      </c>
      <c r="B32" s="37">
        <v>1767.0239999999999</v>
      </c>
      <c r="C32" s="37">
        <v>26.514237999999999</v>
      </c>
      <c r="D32" s="37">
        <v>26.526121</v>
      </c>
      <c r="E32" s="37">
        <v>3.7</v>
      </c>
      <c r="F32" s="36">
        <f t="shared" si="6"/>
        <v>1770.7239999999999</v>
      </c>
      <c r="G32" s="35">
        <f t="shared" si="7"/>
        <v>26.526121</v>
      </c>
    </row>
    <row r="33" spans="1:7" ht="16" x14ac:dyDescent="0.2">
      <c r="A33" s="37">
        <v>210</v>
      </c>
      <c r="B33" s="37">
        <v>510.24</v>
      </c>
      <c r="C33" s="37">
        <v>23.873588000000002</v>
      </c>
      <c r="D33" s="37">
        <v>23.898806</v>
      </c>
      <c r="E33" s="35">
        <v>4.0999999999999996</v>
      </c>
      <c r="F33" s="36">
        <f t="shared" si="6"/>
        <v>514.34</v>
      </c>
      <c r="G33" s="35">
        <f t="shared" si="7"/>
        <v>23.898806</v>
      </c>
    </row>
    <row r="34" spans="1:7" ht="16" x14ac:dyDescent="0.2">
      <c r="A34" s="37">
        <v>85</v>
      </c>
      <c r="B34" s="37">
        <v>40611.504000000001</v>
      </c>
      <c r="C34" s="37">
        <v>44.222056000000002</v>
      </c>
      <c r="D34" s="37">
        <v>44.222943000000001</v>
      </c>
      <c r="E34" s="35">
        <v>3.4350999999999998</v>
      </c>
      <c r="F34" s="36">
        <f t="shared" si="6"/>
        <v>40614.939100000003</v>
      </c>
      <c r="G34" s="35">
        <f t="shared" si="7"/>
        <v>44.222943000000001</v>
      </c>
    </row>
    <row r="35" spans="1:7" x14ac:dyDescent="0.2">
      <c r="B35" s="24"/>
      <c r="C35" s="23"/>
      <c r="D35" s="24"/>
      <c r="E35" s="24"/>
      <c r="F35" s="24"/>
      <c r="G35" s="23"/>
    </row>
    <row r="36" spans="1:7" x14ac:dyDescent="0.2">
      <c r="B36" s="24"/>
      <c r="C36" s="23"/>
      <c r="D36" s="24"/>
      <c r="E36" s="24"/>
      <c r="F36" s="24"/>
      <c r="G36" s="23"/>
    </row>
    <row r="37" spans="1:7" x14ac:dyDescent="0.2">
      <c r="B37" s="24"/>
      <c r="C37" s="23"/>
      <c r="D37" s="24"/>
      <c r="E37" s="24"/>
      <c r="F37" s="24"/>
      <c r="G37" s="23"/>
    </row>
    <row r="38" spans="1:7" x14ac:dyDescent="0.2">
      <c r="B38" s="24"/>
      <c r="C38" s="23"/>
      <c r="D38" s="24"/>
      <c r="E38" s="24"/>
      <c r="F38" s="24"/>
      <c r="G38" s="23"/>
    </row>
    <row r="39" spans="1:7" x14ac:dyDescent="0.2">
      <c r="B39" s="24"/>
      <c r="C39" s="23"/>
      <c r="D39" s="24"/>
      <c r="E39" s="24"/>
      <c r="F39" s="24"/>
      <c r="G39" s="23"/>
    </row>
    <row r="40" spans="1:7" x14ac:dyDescent="0.2">
      <c r="B40" s="24"/>
      <c r="C40" s="23"/>
      <c r="D40" s="24"/>
      <c r="E40" s="24"/>
      <c r="F40" s="24"/>
      <c r="G40" s="23"/>
    </row>
    <row r="41" spans="1:7" x14ac:dyDescent="0.2">
      <c r="B41" s="24"/>
      <c r="C41" s="23"/>
      <c r="D41" s="24"/>
      <c r="E41" s="24"/>
      <c r="F41" s="24"/>
      <c r="G41" s="23"/>
    </row>
    <row r="42" spans="1:7" x14ac:dyDescent="0.2">
      <c r="B42" s="24"/>
      <c r="C42" s="23"/>
      <c r="D42" s="24"/>
      <c r="E42" s="24"/>
      <c r="F42" s="24"/>
      <c r="G42" s="23"/>
    </row>
    <row r="43" spans="1:7" x14ac:dyDescent="0.2">
      <c r="B43" s="24"/>
      <c r="C43" s="23"/>
      <c r="D43" s="24"/>
      <c r="E43" s="24"/>
      <c r="F43" s="24"/>
      <c r="G43" s="23"/>
    </row>
    <row r="44" spans="1:7" x14ac:dyDescent="0.2">
      <c r="B44" s="24"/>
      <c r="C44" s="23"/>
      <c r="D44" s="24"/>
      <c r="E44" s="24"/>
      <c r="F44" s="24"/>
      <c r="G44" s="23"/>
    </row>
    <row r="45" spans="1:7" x14ac:dyDescent="0.2">
      <c r="B45" s="24"/>
      <c r="C45" s="23"/>
      <c r="D45" s="24"/>
      <c r="E45" s="24"/>
      <c r="F45" s="24"/>
      <c r="G45" s="23"/>
    </row>
    <row r="46" spans="1:7" x14ac:dyDescent="0.2">
      <c r="B46" s="24"/>
      <c r="C46" s="23"/>
      <c r="D46" s="24"/>
      <c r="E46" s="24"/>
      <c r="F46" s="24"/>
      <c r="G46" s="23"/>
    </row>
    <row r="47" spans="1:7" x14ac:dyDescent="0.2">
      <c r="B47" s="24"/>
      <c r="C47" s="23"/>
      <c r="D47" s="24"/>
      <c r="E47" s="24"/>
      <c r="F47" s="24"/>
      <c r="G47" s="23"/>
    </row>
    <row r="48" spans="1:7" x14ac:dyDescent="0.2">
      <c r="B48" s="24"/>
      <c r="C48" s="23"/>
      <c r="D48" s="24"/>
      <c r="E48" s="24"/>
      <c r="F48" s="24"/>
      <c r="G48" s="23"/>
    </row>
    <row r="49" spans="2:7" x14ac:dyDescent="0.2">
      <c r="B49" s="24"/>
      <c r="C49" s="23"/>
      <c r="D49" s="24"/>
      <c r="E49" s="24"/>
      <c r="F49" s="24"/>
      <c r="G49" s="23"/>
    </row>
    <row r="50" spans="2:7" x14ac:dyDescent="0.2">
      <c r="B50" s="24"/>
      <c r="C50" s="23"/>
      <c r="D50" s="24"/>
      <c r="E50" s="24"/>
      <c r="F50" s="24"/>
      <c r="G50" s="23"/>
    </row>
    <row r="51" spans="2:7" x14ac:dyDescent="0.2">
      <c r="B51" s="24"/>
      <c r="C51" s="23"/>
      <c r="D51" s="24"/>
      <c r="E51" s="24"/>
      <c r="F51" s="24"/>
      <c r="G51" s="23"/>
    </row>
    <row r="52" spans="2:7" x14ac:dyDescent="0.2">
      <c r="B52" s="24"/>
      <c r="C52" s="23"/>
      <c r="D52" s="24"/>
      <c r="E52" s="24"/>
      <c r="F52" s="24"/>
      <c r="G52" s="23"/>
    </row>
    <row r="53" spans="2:7" x14ac:dyDescent="0.2">
      <c r="B53" s="24"/>
      <c r="C53" s="23"/>
      <c r="D53" s="24"/>
      <c r="E53" s="24"/>
      <c r="F53" s="24"/>
      <c r="G53" s="23"/>
    </row>
    <row r="54" spans="2:7" x14ac:dyDescent="0.2">
      <c r="B54" s="24"/>
      <c r="C54" s="23"/>
      <c r="D54" s="24"/>
      <c r="E54" s="24"/>
      <c r="F54" s="24"/>
      <c r="G54" s="23"/>
    </row>
    <row r="55" spans="2:7" x14ac:dyDescent="0.2">
      <c r="B55" s="24"/>
      <c r="C55" s="23"/>
      <c r="D55" s="24"/>
      <c r="E55" s="24"/>
      <c r="F55" s="24"/>
      <c r="G55" s="23"/>
    </row>
    <row r="56" spans="2:7" x14ac:dyDescent="0.2">
      <c r="B56" s="24"/>
      <c r="C56" s="23"/>
      <c r="D56" s="24"/>
      <c r="E56" s="24"/>
      <c r="F56" s="24"/>
      <c r="G56" s="23"/>
    </row>
    <row r="57" spans="2:7" x14ac:dyDescent="0.2">
      <c r="B57" s="24"/>
      <c r="C57" s="23"/>
      <c r="D57" s="24"/>
      <c r="E57" s="24"/>
      <c r="F57" s="24"/>
      <c r="G57" s="23"/>
    </row>
    <row r="58" spans="2:7" x14ac:dyDescent="0.2">
      <c r="B58" s="24"/>
      <c r="C58" s="23"/>
      <c r="D58" s="24"/>
      <c r="E58" s="24"/>
      <c r="F58" s="24"/>
      <c r="G58" s="23"/>
    </row>
    <row r="59" spans="2:7" x14ac:dyDescent="0.2">
      <c r="B59" s="24"/>
      <c r="C59" s="23"/>
      <c r="D59" s="24"/>
      <c r="E59" s="24"/>
      <c r="F59" s="24"/>
      <c r="G59" s="23"/>
    </row>
    <row r="60" spans="2:7" x14ac:dyDescent="0.2">
      <c r="B60" s="24"/>
      <c r="C60" s="23"/>
      <c r="D60" s="24"/>
      <c r="E60" s="24"/>
      <c r="F60" s="24"/>
      <c r="G60" s="23"/>
    </row>
    <row r="61" spans="2:7" x14ac:dyDescent="0.2">
      <c r="B61" s="24"/>
      <c r="C61" s="23"/>
      <c r="D61" s="24"/>
      <c r="E61" s="24"/>
      <c r="F61" s="24"/>
      <c r="G61" s="23"/>
    </row>
    <row r="62" spans="2:7" x14ac:dyDescent="0.2">
      <c r="B62" s="24"/>
      <c r="C62" s="23"/>
      <c r="D62" s="24"/>
      <c r="E62" s="24"/>
      <c r="F62" s="24"/>
      <c r="G62" s="23"/>
    </row>
    <row r="63" spans="2:7" x14ac:dyDescent="0.2">
      <c r="B63" s="24"/>
      <c r="C63" s="23"/>
      <c r="D63" s="24"/>
      <c r="E63" s="24"/>
      <c r="F63" s="24"/>
      <c r="G63" s="23"/>
    </row>
    <row r="64" spans="2:7" x14ac:dyDescent="0.2">
      <c r="B64" s="24"/>
      <c r="C64" s="23"/>
      <c r="D64" s="24"/>
      <c r="E64" s="24"/>
      <c r="F64" s="24"/>
      <c r="G64" s="23"/>
    </row>
    <row r="65" spans="2:7" x14ac:dyDescent="0.2">
      <c r="B65" s="24"/>
      <c r="C65" s="23"/>
      <c r="D65" s="24"/>
      <c r="E65" s="24"/>
      <c r="F65" s="24"/>
      <c r="G65" s="23"/>
    </row>
    <row r="66" spans="2:7" x14ac:dyDescent="0.2">
      <c r="B66" s="24"/>
      <c r="C66" s="23"/>
      <c r="D66" s="24"/>
      <c r="E66" s="24"/>
      <c r="F66" s="24"/>
      <c r="G66" s="23"/>
    </row>
    <row r="67" spans="2:7" x14ac:dyDescent="0.2">
      <c r="B67" s="24"/>
      <c r="C67" s="23"/>
      <c r="D67" s="24"/>
      <c r="E67" s="24"/>
      <c r="F67" s="24"/>
      <c r="G67" s="23"/>
    </row>
    <row r="68" spans="2:7" x14ac:dyDescent="0.2">
      <c r="B68" s="24"/>
      <c r="C68" s="23"/>
      <c r="D68" s="24"/>
      <c r="E68" s="24"/>
      <c r="F68" s="24"/>
      <c r="G68" s="23"/>
    </row>
    <row r="69" spans="2:7" x14ac:dyDescent="0.2">
      <c r="B69" s="24"/>
      <c r="C69" s="23"/>
      <c r="D69" s="24"/>
      <c r="E69" s="24"/>
      <c r="F69" s="24"/>
      <c r="G69" s="23"/>
    </row>
    <row r="70" spans="2:7" x14ac:dyDescent="0.2">
      <c r="B70" s="24"/>
      <c r="C70" s="23"/>
      <c r="D70" s="24"/>
      <c r="E70" s="24"/>
      <c r="F70" s="24"/>
      <c r="G70" s="23"/>
    </row>
    <row r="71" spans="2:7" x14ac:dyDescent="0.2">
      <c r="B71" s="24"/>
      <c r="C71" s="23"/>
      <c r="D71" s="24"/>
      <c r="E71" s="24"/>
      <c r="F71" s="24"/>
      <c r="G71" s="23"/>
    </row>
    <row r="72" spans="2:7" x14ac:dyDescent="0.2">
      <c r="B72" s="24"/>
      <c r="C72" s="23"/>
      <c r="D72" s="24"/>
      <c r="E72" s="24"/>
      <c r="F72" s="24"/>
      <c r="G72" s="23"/>
    </row>
    <row r="73" spans="2:7" x14ac:dyDescent="0.2">
      <c r="B73" s="24"/>
      <c r="C73" s="23"/>
      <c r="D73" s="24"/>
      <c r="E73" s="24"/>
      <c r="F73" s="24"/>
      <c r="G73" s="23"/>
    </row>
    <row r="74" spans="2:7" x14ac:dyDescent="0.2">
      <c r="B74" s="24"/>
      <c r="C74" s="23"/>
      <c r="D74" s="24"/>
      <c r="E74" s="24"/>
      <c r="F74" s="24"/>
      <c r="G74" s="23"/>
    </row>
    <row r="75" spans="2:7" x14ac:dyDescent="0.2">
      <c r="B75" s="24"/>
      <c r="C75" s="23"/>
      <c r="D75" s="24"/>
      <c r="E75" s="24"/>
      <c r="F75" s="24"/>
      <c r="G75" s="23"/>
    </row>
    <row r="76" spans="2:7" x14ac:dyDescent="0.2">
      <c r="B76" s="24"/>
      <c r="C76" s="23"/>
      <c r="D76" s="24"/>
      <c r="E76" s="24"/>
      <c r="F76" s="24"/>
      <c r="G76" s="23"/>
    </row>
    <row r="77" spans="2:7" x14ac:dyDescent="0.2">
      <c r="B77" s="24"/>
      <c r="C77" s="23"/>
      <c r="D77" s="24"/>
      <c r="E77" s="24"/>
      <c r="F77" s="24"/>
      <c r="G77" s="23"/>
    </row>
    <row r="78" spans="2:7" x14ac:dyDescent="0.2">
      <c r="B78" s="24"/>
      <c r="C78" s="23"/>
      <c r="D78" s="24"/>
      <c r="E78" s="24"/>
      <c r="F78" s="24"/>
      <c r="G78" s="23"/>
    </row>
    <row r="79" spans="2:7" x14ac:dyDescent="0.2">
      <c r="B79" s="24"/>
      <c r="C79" s="23"/>
      <c r="D79" s="24"/>
      <c r="E79" s="24"/>
      <c r="F79" s="24"/>
      <c r="G79" s="23"/>
    </row>
    <row r="80" spans="2:7" x14ac:dyDescent="0.2">
      <c r="B80" s="24"/>
      <c r="C80" s="23"/>
      <c r="D80" s="24"/>
      <c r="E80" s="24"/>
      <c r="F80" s="24"/>
      <c r="G80" s="23"/>
    </row>
    <row r="81" spans="2:7" x14ac:dyDescent="0.2">
      <c r="B81" s="24"/>
      <c r="C81" s="23"/>
      <c r="D81" s="24"/>
      <c r="E81" s="24"/>
      <c r="F81" s="24"/>
      <c r="G81" s="23"/>
    </row>
    <row r="82" spans="2:7" x14ac:dyDescent="0.2">
      <c r="B82" s="24"/>
      <c r="C82" s="23"/>
      <c r="D82" s="24"/>
      <c r="E82" s="24"/>
      <c r="F82" s="24"/>
      <c r="G82" s="23"/>
    </row>
    <row r="83" spans="2:7" x14ac:dyDescent="0.2">
      <c r="B83" s="24"/>
      <c r="C83" s="23"/>
      <c r="D83" s="24"/>
      <c r="E83" s="24"/>
      <c r="F83" s="24"/>
      <c r="G83" s="23"/>
    </row>
    <row r="84" spans="2:7" x14ac:dyDescent="0.2">
      <c r="B84" s="24"/>
      <c r="C84" s="23"/>
      <c r="D84" s="24"/>
      <c r="E84" s="24"/>
      <c r="F84" s="24"/>
      <c r="G84" s="23"/>
    </row>
    <row r="85" spans="2:7" x14ac:dyDescent="0.2">
      <c r="B85" s="24"/>
      <c r="C85" s="23"/>
      <c r="D85" s="24"/>
      <c r="E85" s="24"/>
      <c r="F85" s="24"/>
      <c r="G85" s="23"/>
    </row>
    <row r="86" spans="2:7" x14ac:dyDescent="0.2">
      <c r="B86" s="24"/>
      <c r="C86" s="23"/>
      <c r="D86" s="24"/>
      <c r="E86" s="24"/>
      <c r="F86" s="24"/>
      <c r="G86" s="23"/>
    </row>
    <row r="87" spans="2:7" x14ac:dyDescent="0.2">
      <c r="B87" s="24"/>
      <c r="C87" s="23"/>
      <c r="D87" s="24"/>
      <c r="E87" s="24"/>
      <c r="F87" s="24"/>
      <c r="G87" s="23"/>
    </row>
    <row r="88" spans="2:7" x14ac:dyDescent="0.2">
      <c r="B88" s="24"/>
      <c r="C88" s="23"/>
      <c r="D88" s="24"/>
      <c r="E88" s="24"/>
      <c r="F88" s="24"/>
      <c r="G88" s="23"/>
    </row>
    <row r="89" spans="2:7" x14ac:dyDescent="0.2">
      <c r="B89" s="24"/>
      <c r="C89" s="23"/>
      <c r="D89" s="24"/>
      <c r="E89" s="24"/>
      <c r="F89" s="24"/>
      <c r="G89" s="23"/>
    </row>
    <row r="90" spans="2:7" x14ac:dyDescent="0.2">
      <c r="B90" s="24"/>
      <c r="C90" s="23"/>
      <c r="D90" s="24"/>
      <c r="E90" s="24"/>
      <c r="F90" s="24"/>
      <c r="G90" s="23"/>
    </row>
    <row r="91" spans="2:7" x14ac:dyDescent="0.2">
      <c r="B91" s="24"/>
      <c r="C91" s="23"/>
      <c r="D91" s="24"/>
      <c r="E91" s="24"/>
      <c r="F91" s="24"/>
      <c r="G91" s="23"/>
    </row>
    <row r="92" spans="2:7" x14ac:dyDescent="0.2">
      <c r="B92" s="24"/>
      <c r="C92" s="23"/>
      <c r="D92" s="24"/>
      <c r="E92" s="24"/>
      <c r="F92" s="24"/>
      <c r="G92" s="23"/>
    </row>
    <row r="93" spans="2:7" x14ac:dyDescent="0.2">
      <c r="B93" s="24"/>
      <c r="C93" s="23"/>
      <c r="D93" s="24"/>
      <c r="E93" s="24"/>
      <c r="F93" s="24"/>
      <c r="G93" s="23"/>
    </row>
    <row r="94" spans="2:7" x14ac:dyDescent="0.2">
      <c r="B94" s="24"/>
      <c r="C94" s="23"/>
      <c r="D94" s="24"/>
      <c r="E94" s="24"/>
      <c r="F94" s="24"/>
      <c r="G94" s="23"/>
    </row>
    <row r="95" spans="2:7" x14ac:dyDescent="0.2">
      <c r="B95" s="24"/>
      <c r="C95" s="23"/>
      <c r="D95" s="24"/>
      <c r="E95" s="24"/>
      <c r="F95" s="24"/>
      <c r="G95" s="23"/>
    </row>
    <row r="96" spans="2:7" x14ac:dyDescent="0.2">
      <c r="B96" s="24"/>
      <c r="C96" s="23"/>
      <c r="D96" s="24"/>
      <c r="E96" s="24"/>
      <c r="F96" s="24"/>
      <c r="G96" s="23"/>
    </row>
    <row r="97" spans="2:7" x14ac:dyDescent="0.2">
      <c r="B97" s="24"/>
      <c r="C97" s="23"/>
      <c r="D97" s="24"/>
      <c r="E97" s="24"/>
      <c r="F97" s="24"/>
      <c r="G97" s="23"/>
    </row>
    <row r="98" spans="2:7" x14ac:dyDescent="0.2">
      <c r="B98" s="24"/>
      <c r="C98" s="23"/>
      <c r="D98" s="24"/>
      <c r="E98" s="24"/>
      <c r="F98" s="24"/>
      <c r="G98" s="23"/>
    </row>
    <row r="99" spans="2:7" x14ac:dyDescent="0.2">
      <c r="B99" s="24"/>
      <c r="C99" s="23"/>
      <c r="D99" s="24"/>
      <c r="E99" s="24"/>
      <c r="F99" s="24"/>
      <c r="G99" s="23"/>
    </row>
    <row r="100" spans="2:7" x14ac:dyDescent="0.2">
      <c r="B100" s="24"/>
      <c r="C100" s="23"/>
      <c r="D100" s="24"/>
      <c r="E100" s="24"/>
      <c r="F100" s="24"/>
      <c r="G100" s="23"/>
    </row>
    <row r="101" spans="2:7" x14ac:dyDescent="0.2">
      <c r="B101" s="24"/>
      <c r="C101" s="23"/>
      <c r="D101" s="24"/>
      <c r="E101" s="24"/>
      <c r="F101" s="24"/>
      <c r="G101" s="23"/>
    </row>
    <row r="102" spans="2:7" x14ac:dyDescent="0.2">
      <c r="B102" s="24"/>
      <c r="C102" s="23"/>
      <c r="D102" s="24"/>
      <c r="E102" s="24"/>
      <c r="F102" s="24"/>
      <c r="G102" s="23"/>
    </row>
  </sheetData>
  <mergeCells count="5">
    <mergeCell ref="B3:C3"/>
    <mergeCell ref="F3:G3"/>
    <mergeCell ref="B12:D12"/>
    <mergeCell ref="B20:D20"/>
    <mergeCell ref="B28:D28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DCE13-2950-3342-8FDA-C4253E8D6048}">
  <sheetPr codeName="Sheet4"/>
  <dimension ref="A1:Q102"/>
  <sheetViews>
    <sheetView workbookViewId="0">
      <selection activeCell="E14" sqref="E14"/>
    </sheetView>
  </sheetViews>
  <sheetFormatPr baseColWidth="10" defaultColWidth="8.83203125" defaultRowHeight="15" x14ac:dyDescent="0.2"/>
  <cols>
    <col min="2" max="2" width="10" bestFit="1" customWidth="1"/>
    <col min="3" max="3" width="8" style="25" bestFit="1" customWidth="1"/>
    <col min="4" max="4" width="8" customWidth="1"/>
    <col min="5" max="5" width="10.1640625" bestFit="1" customWidth="1"/>
    <col min="6" max="6" width="10" bestFit="1" customWidth="1"/>
    <col min="7" max="7" width="8" style="25" bestFit="1" customWidth="1"/>
    <col min="8" max="8" width="11.83203125" bestFit="1" customWidth="1"/>
    <col min="9" max="9" width="9.83203125" bestFit="1" customWidth="1"/>
    <col min="10" max="10" width="10.5" bestFit="1" customWidth="1"/>
    <col min="11" max="11" width="9" bestFit="1" customWidth="1"/>
    <col min="15" max="15" width="17" customWidth="1"/>
    <col min="16" max="16" width="10.5" bestFit="1" customWidth="1"/>
  </cols>
  <sheetData>
    <row r="1" spans="1:17" x14ac:dyDescent="0.2">
      <c r="B1" s="1" t="s">
        <v>12</v>
      </c>
      <c r="O1" s="1" t="s">
        <v>13</v>
      </c>
    </row>
    <row r="2" spans="1:17" ht="16" thickBot="1" x14ac:dyDescent="0.25"/>
    <row r="3" spans="1:17" x14ac:dyDescent="0.2">
      <c r="B3" s="47" t="s">
        <v>47</v>
      </c>
      <c r="C3" s="48"/>
      <c r="D3" s="38"/>
      <c r="E3" s="38"/>
      <c r="F3" s="47" t="s">
        <v>46</v>
      </c>
      <c r="G3" s="48"/>
      <c r="H3" s="11" t="s">
        <v>43</v>
      </c>
      <c r="I3" s="12" t="s">
        <v>42</v>
      </c>
      <c r="J3" s="11" t="s">
        <v>40</v>
      </c>
      <c r="K3" s="13" t="s">
        <v>41</v>
      </c>
      <c r="L3" s="14"/>
      <c r="M3" s="15"/>
      <c r="O3" s="26" t="s">
        <v>11</v>
      </c>
      <c r="P3" s="27" t="s">
        <v>43</v>
      </c>
      <c r="Q3" s="28" t="s">
        <v>42</v>
      </c>
    </row>
    <row r="4" spans="1:17" ht="17" thickBot="1" x14ac:dyDescent="0.25">
      <c r="A4" t="s">
        <v>48</v>
      </c>
      <c r="B4" s="16" t="s">
        <v>9</v>
      </c>
      <c r="C4" s="17" t="s">
        <v>10</v>
      </c>
      <c r="D4" s="18" t="s">
        <v>49</v>
      </c>
      <c r="E4" s="18" t="s">
        <v>50</v>
      </c>
      <c r="F4" s="18" t="s">
        <v>9</v>
      </c>
      <c r="G4" s="17" t="s">
        <v>10</v>
      </c>
      <c r="H4" s="29">
        <v>0.80071318397395785</v>
      </c>
      <c r="I4" s="30">
        <v>-13.261772993093556</v>
      </c>
      <c r="J4" s="19">
        <v>4</v>
      </c>
      <c r="K4" s="20">
        <v>4</v>
      </c>
      <c r="L4" s="21" t="str">
        <f>B3</f>
        <v>AV2</v>
      </c>
      <c r="O4" s="34"/>
      <c r="P4" s="31" cm="1">
        <f t="array" ref="P4">BDSNR(B5:B10,C5:C10,F5:F10,G5:G10)</f>
        <v>-0.80624318156353003</v>
      </c>
      <c r="Q4" s="32" cm="1">
        <f t="array" ref="Q4">BDBR(B5:B10,C5:C10,F5:F10,G5:G10)</f>
        <v>6.0531210873705721</v>
      </c>
    </row>
    <row r="5" spans="1:17" ht="16" x14ac:dyDescent="0.2">
      <c r="A5">
        <v>110</v>
      </c>
      <c r="B5" s="37">
        <v>23588.448</v>
      </c>
      <c r="C5" s="37">
        <v>94.459489000000005</v>
      </c>
      <c r="D5" s="37">
        <v>94.459489000000005</v>
      </c>
      <c r="E5" s="37">
        <v>303</v>
      </c>
      <c r="F5" s="36">
        <f>B5+E5</f>
        <v>23891.448</v>
      </c>
      <c r="G5" s="35">
        <f>D5</f>
        <v>94.459489000000005</v>
      </c>
      <c r="J5" s="19">
        <v>4</v>
      </c>
      <c r="K5" s="20">
        <v>4</v>
      </c>
      <c r="L5" s="22" t="str">
        <f>F3</f>
        <v>Sparse</v>
      </c>
    </row>
    <row r="6" spans="1:17" ht="16" x14ac:dyDescent="0.2">
      <c r="A6">
        <v>135</v>
      </c>
      <c r="B6" s="37">
        <v>12290.592000000001</v>
      </c>
      <c r="C6" s="37">
        <v>86.954753999999994</v>
      </c>
      <c r="D6" s="37">
        <v>87.356100999999995</v>
      </c>
      <c r="E6" s="35">
        <v>295</v>
      </c>
      <c r="F6" s="36">
        <f t="shared" ref="F6:F10" si="0">B6+E6</f>
        <v>12585.592000000001</v>
      </c>
      <c r="G6" s="35">
        <f t="shared" ref="G6:G10" si="1">D6</f>
        <v>87.356100999999995</v>
      </c>
    </row>
    <row r="7" spans="1:17" ht="16" x14ac:dyDescent="0.2">
      <c r="A7">
        <v>160</v>
      </c>
      <c r="B7" s="39">
        <v>5336.9759999999997</v>
      </c>
      <c r="C7" s="37">
        <v>71.213356000000005</v>
      </c>
      <c r="D7" s="39">
        <v>72.255944999999997</v>
      </c>
      <c r="E7" s="41">
        <v>267</v>
      </c>
      <c r="F7" s="40">
        <f t="shared" si="0"/>
        <v>5603.9759999999997</v>
      </c>
      <c r="G7" s="35">
        <f t="shared" si="1"/>
        <v>72.255944999999997</v>
      </c>
    </row>
    <row r="8" spans="1:17" ht="16" x14ac:dyDescent="0.2">
      <c r="A8">
        <v>185</v>
      </c>
      <c r="B8" s="39">
        <v>1767.0239999999999</v>
      </c>
      <c r="C8" s="37">
        <v>46.839756999999999</v>
      </c>
      <c r="D8" s="39">
        <v>48.430570000000003</v>
      </c>
      <c r="E8" s="39">
        <v>229</v>
      </c>
      <c r="F8" s="40">
        <f t="shared" si="0"/>
        <v>1996.0239999999999</v>
      </c>
      <c r="G8" s="35">
        <f t="shared" si="1"/>
        <v>48.430570000000003</v>
      </c>
    </row>
    <row r="9" spans="1:17" ht="16" x14ac:dyDescent="0.2">
      <c r="A9">
        <v>210</v>
      </c>
      <c r="B9" s="39">
        <v>510.24</v>
      </c>
      <c r="C9" s="37">
        <v>22.720162999999999</v>
      </c>
      <c r="D9" s="39">
        <v>23.212821000000002</v>
      </c>
      <c r="E9" s="41">
        <v>197</v>
      </c>
      <c r="F9" s="40">
        <f t="shared" si="0"/>
        <v>707.24</v>
      </c>
      <c r="G9" s="35">
        <f t="shared" si="1"/>
        <v>23.212821000000002</v>
      </c>
    </row>
    <row r="10" spans="1:17" ht="16" x14ac:dyDescent="0.2">
      <c r="A10">
        <v>85</v>
      </c>
      <c r="B10" s="37">
        <v>40611.504000000001</v>
      </c>
      <c r="C10" s="37">
        <v>97.226916000000003</v>
      </c>
      <c r="D10" s="37">
        <v>97.226916000000003</v>
      </c>
      <c r="E10" s="35">
        <v>308</v>
      </c>
      <c r="F10" s="36">
        <f t="shared" si="0"/>
        <v>40919.504000000001</v>
      </c>
      <c r="G10" s="35">
        <f t="shared" si="1"/>
        <v>97.226916000000003</v>
      </c>
    </row>
    <row r="11" spans="1:17" x14ac:dyDescent="0.2">
      <c r="B11" s="24"/>
      <c r="C11" s="23"/>
      <c r="D11" s="24"/>
      <c r="E11" s="24"/>
      <c r="F11" s="24"/>
      <c r="G11" s="23"/>
    </row>
    <row r="12" spans="1:17" ht="16" x14ac:dyDescent="0.2">
      <c r="B12" s="42">
        <v>23597.567999999999</v>
      </c>
      <c r="C12" s="37">
        <v>39.344087000000002</v>
      </c>
      <c r="D12" s="24"/>
      <c r="E12" s="24"/>
      <c r="F12" s="24"/>
      <c r="G12" s="23"/>
    </row>
    <row r="13" spans="1:17" ht="16" x14ac:dyDescent="0.2">
      <c r="B13" s="43">
        <v>12299.616</v>
      </c>
      <c r="C13" s="37">
        <v>34.644840000000002</v>
      </c>
      <c r="D13" s="24"/>
      <c r="E13" s="24"/>
      <c r="F13" s="24"/>
      <c r="G13" s="23"/>
    </row>
    <row r="14" spans="1:17" ht="16" x14ac:dyDescent="0.2">
      <c r="B14" s="43">
        <v>5346.7359999999999</v>
      </c>
      <c r="C14" s="37">
        <v>30.240642000000001</v>
      </c>
      <c r="D14" s="24"/>
      <c r="E14" s="24"/>
      <c r="F14" s="24"/>
      <c r="G14" s="23"/>
    </row>
    <row r="15" spans="1:17" ht="16" x14ac:dyDescent="0.2">
      <c r="B15" s="43">
        <v>1775.28</v>
      </c>
      <c r="C15" s="37">
        <v>26.560022</v>
      </c>
      <c r="D15" s="24"/>
      <c r="E15" s="24"/>
      <c r="F15" s="24"/>
      <c r="G15" s="23"/>
    </row>
    <row r="16" spans="1:17" ht="16" x14ac:dyDescent="0.2">
      <c r="B16" s="43">
        <v>510.72</v>
      </c>
      <c r="C16" s="37">
        <v>23.875285000000002</v>
      </c>
      <c r="D16" s="24"/>
      <c r="E16" s="24"/>
      <c r="F16" s="24"/>
      <c r="G16" s="23"/>
    </row>
    <row r="17" spans="2:7" ht="16" x14ac:dyDescent="0.2">
      <c r="B17" s="43">
        <v>40619.792000000001</v>
      </c>
      <c r="C17" s="37">
        <v>44.235928999999999</v>
      </c>
      <c r="D17" s="24"/>
      <c r="E17" s="24"/>
      <c r="F17" s="24"/>
      <c r="G17" s="23"/>
    </row>
    <row r="18" spans="2:7" x14ac:dyDescent="0.2">
      <c r="B18" s="24"/>
      <c r="C18" s="23"/>
      <c r="D18" s="24"/>
      <c r="E18" s="24"/>
      <c r="F18" s="24"/>
      <c r="G18" s="23"/>
    </row>
    <row r="19" spans="2:7" x14ac:dyDescent="0.2">
      <c r="B19" s="24"/>
      <c r="C19" s="23"/>
      <c r="D19" s="24"/>
      <c r="E19" s="24"/>
      <c r="F19" s="24"/>
      <c r="G19" s="23"/>
    </row>
    <row r="20" spans="2:7" x14ac:dyDescent="0.2">
      <c r="B20" s="24"/>
      <c r="C20" s="23"/>
      <c r="D20" s="24"/>
      <c r="E20" s="24"/>
      <c r="F20" s="24"/>
      <c r="G20" s="23"/>
    </row>
    <row r="21" spans="2:7" x14ac:dyDescent="0.2">
      <c r="B21" s="24"/>
      <c r="C21" s="23"/>
      <c r="D21" s="24"/>
      <c r="E21" s="24"/>
      <c r="F21" s="24"/>
      <c r="G21" s="23"/>
    </row>
    <row r="22" spans="2:7" x14ac:dyDescent="0.2">
      <c r="B22" s="24"/>
      <c r="C22" s="23"/>
      <c r="D22" s="24"/>
      <c r="E22" s="24"/>
      <c r="F22" s="24"/>
      <c r="G22" s="23"/>
    </row>
    <row r="23" spans="2:7" x14ac:dyDescent="0.2">
      <c r="B23" s="24"/>
      <c r="C23" s="23"/>
      <c r="D23" s="24"/>
      <c r="E23" s="24"/>
      <c r="F23" s="24"/>
      <c r="G23" s="23"/>
    </row>
    <row r="24" spans="2:7" x14ac:dyDescent="0.2">
      <c r="B24" s="24"/>
      <c r="C24" s="23"/>
      <c r="D24" s="24"/>
      <c r="E24" s="24"/>
      <c r="F24" s="24"/>
      <c r="G24" s="23"/>
    </row>
    <row r="25" spans="2:7" x14ac:dyDescent="0.2">
      <c r="B25" s="24"/>
      <c r="C25" s="23"/>
      <c r="D25" s="24"/>
      <c r="E25" s="24"/>
      <c r="F25" s="24"/>
      <c r="G25" s="23"/>
    </row>
    <row r="26" spans="2:7" x14ac:dyDescent="0.2">
      <c r="B26" s="24"/>
      <c r="C26" s="23"/>
      <c r="D26" s="24"/>
      <c r="E26" s="24"/>
      <c r="F26" s="24"/>
      <c r="G26" s="23"/>
    </row>
    <row r="27" spans="2:7" x14ac:dyDescent="0.2">
      <c r="B27" s="24"/>
      <c r="C27" s="23"/>
      <c r="D27" s="24"/>
      <c r="E27" s="24"/>
      <c r="F27" s="24"/>
      <c r="G27" s="23"/>
    </row>
    <row r="28" spans="2:7" x14ac:dyDescent="0.2">
      <c r="B28" s="24"/>
      <c r="C28" s="23"/>
      <c r="D28" s="24"/>
      <c r="E28" s="24"/>
      <c r="F28" s="24"/>
      <c r="G28" s="23"/>
    </row>
    <row r="29" spans="2:7" x14ac:dyDescent="0.2">
      <c r="B29" s="24"/>
      <c r="C29" s="23"/>
      <c r="D29" s="24"/>
      <c r="E29" s="24"/>
      <c r="F29" s="24"/>
      <c r="G29" s="23"/>
    </row>
    <row r="30" spans="2:7" x14ac:dyDescent="0.2">
      <c r="B30" s="24"/>
      <c r="C30" s="23"/>
      <c r="D30" s="24"/>
      <c r="E30" s="24"/>
      <c r="F30" s="24"/>
      <c r="G30" s="23"/>
    </row>
    <row r="31" spans="2:7" x14ac:dyDescent="0.2">
      <c r="B31" s="24"/>
      <c r="C31" s="23"/>
      <c r="D31" s="24"/>
      <c r="E31" s="24"/>
      <c r="F31" s="24"/>
      <c r="G31" s="23"/>
    </row>
    <row r="32" spans="2:7" x14ac:dyDescent="0.2">
      <c r="B32" s="24"/>
      <c r="C32" s="23"/>
      <c r="D32" s="24"/>
      <c r="E32" s="24"/>
      <c r="F32" s="24"/>
      <c r="G32" s="23"/>
    </row>
    <row r="33" spans="2:7" x14ac:dyDescent="0.2">
      <c r="B33" s="24"/>
      <c r="C33" s="23"/>
      <c r="D33" s="24"/>
      <c r="E33" s="24"/>
      <c r="F33" s="24"/>
      <c r="G33" s="23"/>
    </row>
    <row r="34" spans="2:7" x14ac:dyDescent="0.2">
      <c r="B34" s="24"/>
      <c r="C34" s="23"/>
      <c r="D34" s="24"/>
      <c r="E34" s="24"/>
      <c r="F34" s="24"/>
      <c r="G34" s="23"/>
    </row>
    <row r="35" spans="2:7" x14ac:dyDescent="0.2">
      <c r="B35" s="24"/>
      <c r="C35" s="23"/>
      <c r="D35" s="24"/>
      <c r="E35" s="24"/>
      <c r="F35" s="24"/>
      <c r="G35" s="23"/>
    </row>
    <row r="36" spans="2:7" x14ac:dyDescent="0.2">
      <c r="B36" s="24"/>
      <c r="C36" s="23"/>
      <c r="D36" s="24"/>
      <c r="E36" s="24"/>
      <c r="F36" s="24"/>
      <c r="G36" s="23"/>
    </row>
    <row r="37" spans="2:7" x14ac:dyDescent="0.2">
      <c r="B37" s="24"/>
      <c r="C37" s="23"/>
      <c r="D37" s="24"/>
      <c r="E37" s="24"/>
      <c r="F37" s="24"/>
      <c r="G37" s="23"/>
    </row>
    <row r="38" spans="2:7" x14ac:dyDescent="0.2">
      <c r="B38" s="24"/>
      <c r="C38" s="23"/>
      <c r="D38" s="24"/>
      <c r="E38" s="24"/>
      <c r="F38" s="24"/>
      <c r="G38" s="23"/>
    </row>
    <row r="39" spans="2:7" x14ac:dyDescent="0.2">
      <c r="B39" s="24"/>
      <c r="C39" s="23"/>
      <c r="D39" s="24"/>
      <c r="E39" s="24"/>
      <c r="F39" s="24"/>
      <c r="G39" s="23"/>
    </row>
    <row r="40" spans="2:7" x14ac:dyDescent="0.2">
      <c r="B40" s="24"/>
      <c r="C40" s="23"/>
      <c r="D40" s="24"/>
      <c r="E40" s="24"/>
      <c r="F40" s="24"/>
      <c r="G40" s="23"/>
    </row>
    <row r="41" spans="2:7" x14ac:dyDescent="0.2">
      <c r="B41" s="24"/>
      <c r="C41" s="23"/>
      <c r="D41" s="24"/>
      <c r="E41" s="24"/>
      <c r="F41" s="24"/>
      <c r="G41" s="23"/>
    </row>
    <row r="42" spans="2:7" x14ac:dyDescent="0.2">
      <c r="B42" s="24"/>
      <c r="C42" s="23"/>
      <c r="D42" s="24"/>
      <c r="E42" s="24"/>
      <c r="F42" s="24"/>
      <c r="G42" s="23"/>
    </row>
    <row r="43" spans="2:7" x14ac:dyDescent="0.2">
      <c r="B43" s="24"/>
      <c r="C43" s="23"/>
      <c r="D43" s="24"/>
      <c r="E43" s="24"/>
      <c r="F43" s="24"/>
      <c r="G43" s="23"/>
    </row>
    <row r="44" spans="2:7" x14ac:dyDescent="0.2">
      <c r="B44" s="24"/>
      <c r="C44" s="23"/>
      <c r="D44" s="24"/>
      <c r="E44" s="24"/>
      <c r="F44" s="24"/>
      <c r="G44" s="23"/>
    </row>
    <row r="45" spans="2:7" x14ac:dyDescent="0.2">
      <c r="B45" s="24"/>
      <c r="C45" s="23"/>
      <c r="D45" s="24"/>
      <c r="E45" s="24"/>
      <c r="F45" s="24"/>
      <c r="G45" s="23"/>
    </row>
    <row r="46" spans="2:7" x14ac:dyDescent="0.2">
      <c r="B46" s="24"/>
      <c r="C46" s="23"/>
      <c r="D46" s="24"/>
      <c r="E46" s="24"/>
      <c r="F46" s="24"/>
      <c r="G46" s="23"/>
    </row>
    <row r="47" spans="2:7" x14ac:dyDescent="0.2">
      <c r="B47" s="24"/>
      <c r="C47" s="23"/>
      <c r="D47" s="24"/>
      <c r="E47" s="24"/>
      <c r="F47" s="24"/>
      <c r="G47" s="23"/>
    </row>
    <row r="48" spans="2:7" x14ac:dyDescent="0.2">
      <c r="B48" s="24"/>
      <c r="C48" s="23"/>
      <c r="D48" s="24"/>
      <c r="E48" s="24"/>
      <c r="F48" s="24"/>
      <c r="G48" s="23"/>
    </row>
    <row r="49" spans="2:7" x14ac:dyDescent="0.2">
      <c r="B49" s="24"/>
      <c r="C49" s="23"/>
      <c r="D49" s="24"/>
      <c r="E49" s="24"/>
      <c r="F49" s="24"/>
      <c r="G49" s="23"/>
    </row>
    <row r="50" spans="2:7" x14ac:dyDescent="0.2">
      <c r="B50" s="24"/>
      <c r="C50" s="23"/>
      <c r="D50" s="24"/>
      <c r="E50" s="24"/>
      <c r="F50" s="24"/>
      <c r="G50" s="23"/>
    </row>
    <row r="51" spans="2:7" x14ac:dyDescent="0.2">
      <c r="B51" s="24"/>
      <c r="C51" s="23"/>
      <c r="D51" s="24"/>
      <c r="E51" s="24"/>
      <c r="F51" s="24"/>
      <c r="G51" s="23"/>
    </row>
    <row r="52" spans="2:7" x14ac:dyDescent="0.2">
      <c r="B52" s="24"/>
      <c r="C52" s="23"/>
      <c r="D52" s="24"/>
      <c r="E52" s="24"/>
      <c r="F52" s="24"/>
      <c r="G52" s="23"/>
    </row>
    <row r="53" spans="2:7" x14ac:dyDescent="0.2">
      <c r="B53" s="24"/>
      <c r="C53" s="23"/>
      <c r="D53" s="24"/>
      <c r="E53" s="24"/>
      <c r="F53" s="24"/>
      <c r="G53" s="23"/>
    </row>
    <row r="54" spans="2:7" x14ac:dyDescent="0.2">
      <c r="B54" s="24"/>
      <c r="C54" s="23"/>
      <c r="D54" s="24"/>
      <c r="E54" s="24"/>
      <c r="F54" s="24"/>
      <c r="G54" s="23"/>
    </row>
    <row r="55" spans="2:7" x14ac:dyDescent="0.2">
      <c r="B55" s="24"/>
      <c r="C55" s="23"/>
      <c r="D55" s="24"/>
      <c r="E55" s="24"/>
      <c r="F55" s="24"/>
      <c r="G55" s="23"/>
    </row>
    <row r="56" spans="2:7" x14ac:dyDescent="0.2">
      <c r="B56" s="24"/>
      <c r="C56" s="23"/>
      <c r="D56" s="24"/>
      <c r="E56" s="24"/>
      <c r="F56" s="24"/>
      <c r="G56" s="23"/>
    </row>
    <row r="57" spans="2:7" x14ac:dyDescent="0.2">
      <c r="B57" s="24"/>
      <c r="C57" s="23"/>
      <c r="D57" s="24"/>
      <c r="E57" s="24"/>
      <c r="F57" s="24"/>
      <c r="G57" s="23"/>
    </row>
    <row r="58" spans="2:7" x14ac:dyDescent="0.2">
      <c r="B58" s="24"/>
      <c r="C58" s="23"/>
      <c r="D58" s="24"/>
      <c r="E58" s="24"/>
      <c r="F58" s="24"/>
      <c r="G58" s="23"/>
    </row>
    <row r="59" spans="2:7" x14ac:dyDescent="0.2">
      <c r="B59" s="24"/>
      <c r="C59" s="23"/>
      <c r="D59" s="24"/>
      <c r="E59" s="24"/>
      <c r="F59" s="24"/>
      <c r="G59" s="23"/>
    </row>
    <row r="60" spans="2:7" x14ac:dyDescent="0.2">
      <c r="B60" s="24"/>
      <c r="C60" s="23"/>
      <c r="D60" s="24"/>
      <c r="E60" s="24"/>
      <c r="F60" s="24"/>
      <c r="G60" s="23"/>
    </row>
    <row r="61" spans="2:7" x14ac:dyDescent="0.2">
      <c r="B61" s="24"/>
      <c r="C61" s="23"/>
      <c r="D61" s="24"/>
      <c r="E61" s="24"/>
      <c r="F61" s="24"/>
      <c r="G61" s="23"/>
    </row>
    <row r="62" spans="2:7" x14ac:dyDescent="0.2">
      <c r="B62" s="24"/>
      <c r="C62" s="23"/>
      <c r="D62" s="24"/>
      <c r="E62" s="24"/>
      <c r="F62" s="24"/>
      <c r="G62" s="23"/>
    </row>
    <row r="63" spans="2:7" x14ac:dyDescent="0.2">
      <c r="B63" s="24"/>
      <c r="C63" s="23"/>
      <c r="D63" s="24"/>
      <c r="E63" s="24"/>
      <c r="F63" s="24"/>
      <c r="G63" s="23"/>
    </row>
    <row r="64" spans="2:7" x14ac:dyDescent="0.2">
      <c r="B64" s="24"/>
      <c r="C64" s="23"/>
      <c r="D64" s="24"/>
      <c r="E64" s="24"/>
      <c r="F64" s="24"/>
      <c r="G64" s="23"/>
    </row>
    <row r="65" spans="2:7" x14ac:dyDescent="0.2">
      <c r="B65" s="24"/>
      <c r="C65" s="23"/>
      <c r="D65" s="24"/>
      <c r="E65" s="24"/>
      <c r="F65" s="24"/>
      <c r="G65" s="23"/>
    </row>
    <row r="66" spans="2:7" x14ac:dyDescent="0.2">
      <c r="B66" s="24"/>
      <c r="C66" s="23"/>
      <c r="D66" s="24"/>
      <c r="E66" s="24"/>
      <c r="F66" s="24"/>
      <c r="G66" s="23"/>
    </row>
    <row r="67" spans="2:7" x14ac:dyDescent="0.2">
      <c r="B67" s="24"/>
      <c r="C67" s="23"/>
      <c r="D67" s="24"/>
      <c r="E67" s="24"/>
      <c r="F67" s="24"/>
      <c r="G67" s="23"/>
    </row>
    <row r="68" spans="2:7" x14ac:dyDescent="0.2">
      <c r="B68" s="24"/>
      <c r="C68" s="23"/>
      <c r="D68" s="24"/>
      <c r="E68" s="24"/>
      <c r="F68" s="24"/>
      <c r="G68" s="23"/>
    </row>
    <row r="69" spans="2:7" x14ac:dyDescent="0.2">
      <c r="B69" s="24"/>
      <c r="C69" s="23"/>
      <c r="D69" s="24"/>
      <c r="E69" s="24"/>
      <c r="F69" s="24"/>
      <c r="G69" s="23"/>
    </row>
    <row r="70" spans="2:7" x14ac:dyDescent="0.2">
      <c r="B70" s="24"/>
      <c r="C70" s="23"/>
      <c r="D70" s="24"/>
      <c r="E70" s="24"/>
      <c r="F70" s="24"/>
      <c r="G70" s="23"/>
    </row>
    <row r="71" spans="2:7" x14ac:dyDescent="0.2">
      <c r="B71" s="24"/>
      <c r="C71" s="23"/>
      <c r="D71" s="24"/>
      <c r="E71" s="24"/>
      <c r="F71" s="24"/>
      <c r="G71" s="23"/>
    </row>
    <row r="72" spans="2:7" x14ac:dyDescent="0.2">
      <c r="B72" s="24"/>
      <c r="C72" s="23"/>
      <c r="D72" s="24"/>
      <c r="E72" s="24"/>
      <c r="F72" s="24"/>
      <c r="G72" s="23"/>
    </row>
    <row r="73" spans="2:7" x14ac:dyDescent="0.2">
      <c r="B73" s="24"/>
      <c r="C73" s="23"/>
      <c r="D73" s="24"/>
      <c r="E73" s="24"/>
      <c r="F73" s="24"/>
      <c r="G73" s="23"/>
    </row>
    <row r="74" spans="2:7" x14ac:dyDescent="0.2">
      <c r="B74" s="24"/>
      <c r="C74" s="23"/>
      <c r="D74" s="24"/>
      <c r="E74" s="24"/>
      <c r="F74" s="24"/>
      <c r="G74" s="23"/>
    </row>
    <row r="75" spans="2:7" x14ac:dyDescent="0.2">
      <c r="B75" s="24"/>
      <c r="C75" s="23"/>
      <c r="D75" s="24"/>
      <c r="E75" s="24"/>
      <c r="F75" s="24"/>
      <c r="G75" s="23"/>
    </row>
    <row r="76" spans="2:7" x14ac:dyDescent="0.2">
      <c r="B76" s="24"/>
      <c r="C76" s="23"/>
      <c r="D76" s="24"/>
      <c r="E76" s="24"/>
      <c r="F76" s="24"/>
      <c r="G76" s="23"/>
    </row>
    <row r="77" spans="2:7" x14ac:dyDescent="0.2">
      <c r="B77" s="24"/>
      <c r="C77" s="23"/>
      <c r="D77" s="24"/>
      <c r="E77" s="24"/>
      <c r="F77" s="24"/>
      <c r="G77" s="23"/>
    </row>
    <row r="78" spans="2:7" x14ac:dyDescent="0.2">
      <c r="B78" s="24"/>
      <c r="C78" s="23"/>
      <c r="D78" s="24"/>
      <c r="E78" s="24"/>
      <c r="F78" s="24"/>
      <c r="G78" s="23"/>
    </row>
    <row r="79" spans="2:7" x14ac:dyDescent="0.2">
      <c r="B79" s="24"/>
      <c r="C79" s="23"/>
      <c r="D79" s="24"/>
      <c r="E79" s="24"/>
      <c r="F79" s="24"/>
      <c r="G79" s="23"/>
    </row>
    <row r="80" spans="2:7" x14ac:dyDescent="0.2">
      <c r="B80" s="24"/>
      <c r="C80" s="23"/>
      <c r="D80" s="24"/>
      <c r="E80" s="24"/>
      <c r="F80" s="24"/>
      <c r="G80" s="23"/>
    </row>
    <row r="81" spans="2:7" x14ac:dyDescent="0.2">
      <c r="B81" s="24"/>
      <c r="C81" s="23"/>
      <c r="D81" s="24"/>
      <c r="E81" s="24"/>
      <c r="F81" s="24"/>
      <c r="G81" s="23"/>
    </row>
    <row r="82" spans="2:7" x14ac:dyDescent="0.2">
      <c r="B82" s="24"/>
      <c r="C82" s="23"/>
      <c r="D82" s="24"/>
      <c r="E82" s="24"/>
      <c r="F82" s="24"/>
      <c r="G82" s="23"/>
    </row>
    <row r="83" spans="2:7" x14ac:dyDescent="0.2">
      <c r="B83" s="24"/>
      <c r="C83" s="23"/>
      <c r="D83" s="24"/>
      <c r="E83" s="24"/>
      <c r="F83" s="24"/>
      <c r="G83" s="23"/>
    </row>
    <row r="84" spans="2:7" x14ac:dyDescent="0.2">
      <c r="B84" s="24"/>
      <c r="C84" s="23"/>
      <c r="D84" s="24"/>
      <c r="E84" s="24"/>
      <c r="F84" s="24"/>
      <c r="G84" s="23"/>
    </row>
    <row r="85" spans="2:7" x14ac:dyDescent="0.2">
      <c r="B85" s="24"/>
      <c r="C85" s="23"/>
      <c r="D85" s="24"/>
      <c r="E85" s="24"/>
      <c r="F85" s="24"/>
      <c r="G85" s="23"/>
    </row>
    <row r="86" spans="2:7" x14ac:dyDescent="0.2">
      <c r="B86" s="24"/>
      <c r="C86" s="23"/>
      <c r="D86" s="24"/>
      <c r="E86" s="24"/>
      <c r="F86" s="24"/>
      <c r="G86" s="23"/>
    </row>
    <row r="87" spans="2:7" x14ac:dyDescent="0.2">
      <c r="B87" s="24"/>
      <c r="C87" s="23"/>
      <c r="D87" s="24"/>
      <c r="E87" s="24"/>
      <c r="F87" s="24"/>
      <c r="G87" s="23"/>
    </row>
    <row r="88" spans="2:7" x14ac:dyDescent="0.2">
      <c r="B88" s="24"/>
      <c r="C88" s="23"/>
      <c r="D88" s="24"/>
      <c r="E88" s="24"/>
      <c r="F88" s="24"/>
      <c r="G88" s="23"/>
    </row>
    <row r="89" spans="2:7" x14ac:dyDescent="0.2">
      <c r="B89" s="24"/>
      <c r="C89" s="23"/>
      <c r="D89" s="24"/>
      <c r="E89" s="24"/>
      <c r="F89" s="24"/>
      <c r="G89" s="23"/>
    </row>
    <row r="90" spans="2:7" x14ac:dyDescent="0.2">
      <c r="B90" s="24"/>
      <c r="C90" s="23"/>
      <c r="D90" s="24"/>
      <c r="E90" s="24"/>
      <c r="F90" s="24"/>
      <c r="G90" s="23"/>
    </row>
    <row r="91" spans="2:7" x14ac:dyDescent="0.2">
      <c r="B91" s="24"/>
      <c r="C91" s="23"/>
      <c r="D91" s="24"/>
      <c r="E91" s="24"/>
      <c r="F91" s="24"/>
      <c r="G91" s="23"/>
    </row>
    <row r="92" spans="2:7" x14ac:dyDescent="0.2">
      <c r="B92" s="24"/>
      <c r="C92" s="23"/>
      <c r="D92" s="24"/>
      <c r="E92" s="24"/>
      <c r="F92" s="24"/>
      <c r="G92" s="23"/>
    </row>
    <row r="93" spans="2:7" x14ac:dyDescent="0.2">
      <c r="B93" s="24"/>
      <c r="C93" s="23"/>
      <c r="D93" s="24"/>
      <c r="E93" s="24"/>
      <c r="F93" s="24"/>
      <c r="G93" s="23"/>
    </row>
    <row r="94" spans="2:7" x14ac:dyDescent="0.2">
      <c r="B94" s="24"/>
      <c r="C94" s="23"/>
      <c r="D94" s="24"/>
      <c r="E94" s="24"/>
      <c r="F94" s="24"/>
      <c r="G94" s="23"/>
    </row>
    <row r="95" spans="2:7" x14ac:dyDescent="0.2">
      <c r="B95" s="24"/>
      <c r="C95" s="23"/>
      <c r="D95" s="24"/>
      <c r="E95" s="24"/>
      <c r="F95" s="24"/>
      <c r="G95" s="23"/>
    </row>
    <row r="96" spans="2:7" x14ac:dyDescent="0.2">
      <c r="B96" s="24"/>
      <c r="C96" s="23"/>
      <c r="D96" s="24"/>
      <c r="E96" s="24"/>
      <c r="F96" s="24"/>
      <c r="G96" s="23"/>
    </row>
    <row r="97" spans="2:7" x14ac:dyDescent="0.2">
      <c r="B97" s="24"/>
      <c r="C97" s="23"/>
      <c r="D97" s="24"/>
      <c r="E97" s="24"/>
      <c r="F97" s="24"/>
      <c r="G97" s="23"/>
    </row>
    <row r="98" spans="2:7" x14ac:dyDescent="0.2">
      <c r="B98" s="24"/>
      <c r="C98" s="23"/>
      <c r="D98" s="24"/>
      <c r="E98" s="24"/>
      <c r="F98" s="24"/>
      <c r="G98" s="23"/>
    </row>
    <row r="99" spans="2:7" x14ac:dyDescent="0.2">
      <c r="B99" s="24"/>
      <c r="C99" s="23"/>
      <c r="D99" s="24"/>
      <c r="E99" s="24"/>
      <c r="F99" s="24"/>
      <c r="G99" s="23"/>
    </row>
    <row r="100" spans="2:7" x14ac:dyDescent="0.2">
      <c r="B100" s="24"/>
      <c r="C100" s="23"/>
      <c r="D100" s="24"/>
      <c r="E100" s="24"/>
      <c r="F100" s="24"/>
      <c r="G100" s="23"/>
    </row>
    <row r="101" spans="2:7" x14ac:dyDescent="0.2">
      <c r="B101" s="24"/>
      <c r="C101" s="23"/>
      <c r="D101" s="24"/>
      <c r="E101" s="24"/>
      <c r="F101" s="24"/>
      <c r="G101" s="23"/>
    </row>
    <row r="102" spans="2:7" x14ac:dyDescent="0.2">
      <c r="B102" s="24"/>
      <c r="C102" s="23"/>
      <c r="D102" s="24"/>
      <c r="E102" s="24"/>
      <c r="F102" s="24"/>
      <c r="G102" s="23"/>
    </row>
  </sheetData>
  <mergeCells count="2">
    <mergeCell ref="B3:C3"/>
    <mergeCell ref="F3:G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 and usage</vt:lpstr>
      <vt:lpstr>ETRO Example 9-points</vt:lpstr>
      <vt:lpstr>Verification with VCEG-M33</vt:lpstr>
      <vt:lpstr>Verification with VCEG-M33 VMAF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2023-02-23T06:44:41Z</dcterms:modified>
</cp:coreProperties>
</file>