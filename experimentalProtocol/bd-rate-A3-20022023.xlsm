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carsala/Documents/MATLAB/1. thesis/Resultados/BD-Rate/"/>
    </mc:Choice>
  </mc:AlternateContent>
  <xr:revisionPtr revIDLastSave="0" documentId="13_ncr:1_{D8A0A6EF-CACE-8E4B-92A5-6F949B9DCBA1}" xr6:coauthVersionLast="47" xr6:coauthVersionMax="47" xr10:uidLastSave="{00000000-0000-0000-0000-000000000000}"/>
  <bookViews>
    <workbookView xWindow="0" yWindow="680" windowWidth="29920" windowHeight="17680" activeTab="2" xr2:uid="{00000000-000D-0000-FFFF-FFFF00000000}"/>
  </bookViews>
  <sheets>
    <sheet name="License and usage" sheetId="3" r:id="rId1"/>
    <sheet name="ETRO Example 9-points" sheetId="1" r:id="rId2"/>
    <sheet name="PSNR" sheetId="2" r:id="rId3"/>
    <sheet name="VMAF" sheetId="4" r:id="rId4"/>
    <sheet name="SSIM" sheetId="5" r:id="rId5"/>
  </sheets>
  <functionGroups builtInGroupCount="19"/>
  <definedNames>
    <definedName name="psnr1" localSheetId="2">OFFSET(PSNR!$C$5, 0, 0, COUNTA(PSNR!$C$5:$C$101), 1)</definedName>
    <definedName name="psnr1" localSheetId="4">OFFSET(SSIM!$C$5, 0, 0, COUNTA(SSIM!$C$5:$C$101), 1)</definedName>
    <definedName name="psnr1" localSheetId="3">OFFSET(VMAF!$C$5, 0, 0, COUNTA(VMAF!$C$5:$C$101), 1)</definedName>
    <definedName name="psnr2" localSheetId="2">OFFSET(PSNR!$G$5, 0, 0, COUNTA(PSNR!$G$5:$G$101), 1)</definedName>
    <definedName name="psnr2" localSheetId="4">OFFSET(SSIM!$G$5, 0, 0, COUNTA(SSIM!$G$5:$G$101), 1)</definedName>
    <definedName name="psnr2" localSheetId="3">OFFSET(VMAF!$G$5, 0, 0, COUNTA(VMAF!$G$5:$G$101), 1)</definedName>
    <definedName name="rates1" localSheetId="2">OFFSET(PSNR!$B$5, 0, 0, COUNTA(PSNR!$B$5:$B$101), 1)</definedName>
    <definedName name="rates1" localSheetId="4">OFFSET(SSIM!$B$5, 0, 0, COUNTA(SSIM!$B$5:$B$101), 1)</definedName>
    <definedName name="rates1" localSheetId="3">OFFSET(VMAF!$B$5, 0, 0, COUNTA(VMAF!$B$5:$B$101), 1)</definedName>
    <definedName name="rates2" localSheetId="2">OFFSET(PSNR!$F$5, 0, 0, COUNTA(PSNR!$F$5:$F$101), 1)</definedName>
    <definedName name="rates2" localSheetId="4">OFFSET(SSIM!$F$5, 0, 0, COUNTA(SSIM!$F$5:$F$101), 1)</definedName>
    <definedName name="rates2" localSheetId="3">OFFSET(VMAF!$F$5, 0, 0, COUNTA(VMAF!$F$5:$F$101), 1)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" i="5" l="1"/>
  <c r="G6" i="5"/>
  <c r="G7" i="5"/>
  <c r="G8" i="5"/>
  <c r="G9" i="5"/>
  <c r="G10" i="5"/>
  <c r="F6" i="2"/>
  <c r="F7" i="2"/>
  <c r="F8" i="2"/>
  <c r="F9" i="2"/>
  <c r="F10" i="2"/>
  <c r="F5" i="2"/>
  <c r="G6" i="2"/>
  <c r="G7" i="2"/>
  <c r="G8" i="2"/>
  <c r="G9" i="2"/>
  <c r="G10" i="2"/>
  <c r="G5" i="2"/>
  <c r="B10" i="5"/>
  <c r="F10" i="5" s="1"/>
  <c r="B9" i="5"/>
  <c r="F9" i="5" s="1"/>
  <c r="B8" i="5"/>
  <c r="F8" i="5" s="1"/>
  <c r="B7" i="5"/>
  <c r="F7" i="5" s="1"/>
  <c r="B6" i="5"/>
  <c r="F6" i="5" s="1"/>
  <c r="B5" i="5"/>
  <c r="F5" i="5" s="1"/>
  <c r="G10" i="4"/>
  <c r="G6" i="4"/>
  <c r="G7" i="4"/>
  <c r="G8" i="4"/>
  <c r="G9" i="4"/>
  <c r="G5" i="4"/>
  <c r="F5" i="4"/>
  <c r="B6" i="4"/>
  <c r="F6" i="4" s="1"/>
  <c r="B7" i="4"/>
  <c r="F7" i="4" s="1"/>
  <c r="B8" i="4"/>
  <c r="F8" i="4" s="1"/>
  <c r="B9" i="4"/>
  <c r="F9" i="4" s="1"/>
  <c r="B10" i="4"/>
  <c r="F10" i="4" s="1"/>
  <c r="B5" i="4"/>
  <c r="L5" i="5"/>
  <c r="L4" i="5"/>
  <c r="L5" i="4"/>
  <c r="L4" i="4"/>
  <c r="L4" i="2"/>
  <c r="C3" i="1"/>
  <c r="C4" i="1"/>
  <c r="C5" i="1"/>
  <c r="C6" i="1"/>
  <c r="C7" i="1"/>
  <c r="C8" i="1"/>
  <c r="C9" i="1"/>
  <c r="C10" i="1"/>
  <c r="C11" i="1"/>
  <c r="Q4" i="4" a="1"/>
  <c r="P4" i="4" a="1"/>
  <c r="I3" i="1" a="1"/>
  <c r="J3" i="1" a="1"/>
  <c r="Q4" i="5" a="1"/>
  <c r="P4" i="5" a="1"/>
  <c r="Q4" i="2" a="1"/>
  <c r="P4" i="2" a="1"/>
  <c r="Q4" i="2" l="1"/>
  <c r="Q4" i="4"/>
  <c r="Q4" i="5"/>
  <c r="P4" i="2"/>
  <c r="P4" i="5"/>
  <c r="J3" i="1"/>
  <c r="I3" i="1"/>
  <c r="P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<sst xmlns="http://schemas.openxmlformats.org/spreadsheetml/2006/main" count="101" uniqueCount="53">
  <si>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</si>
  <si>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</si>
  <si>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</si>
  <si>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</si>
  <si>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</si>
  <si>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</si>
  <si>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</si>
  <si>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</si>
  <si>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CB size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</si>
  <si>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</si>
  <si>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</si>
  <si>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</si>
  <si>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</si>
  <si>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</si>
  <si>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</si>
  <si>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</si>
  <si>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</si>
  <si>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</si>
  <si>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</si>
  <si>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</si>
  <si>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</si>
  <si>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</si>
  <si>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</si>
  <si>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</si>
  <si>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</si>
  <si>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</si>
  <si>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</si>
  <si>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</si>
  <si>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</si>
  <si>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</si>
  <si>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</si>
  <si>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</si>
  <si>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</si>
  <si>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</si>
  <si>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</si>
  <si>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</si>
  <si>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</si>
  <si>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</si>
  <si>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</si>
  <si>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</si>
  <si>
    <t>BDSNR #p</t>
  </si>
  <si>
    <t>BDBR #p</t>
  </si>
  <si>
    <t>BDBR (%)</t>
  </si>
  <si>
    <t>BDSNR (dB)</t>
  </si>
  <si>
    <t>BDBR</t>
  </si>
  <si>
    <t>BDSNR</t>
  </si>
  <si>
    <t>Sparse</t>
  </si>
  <si>
    <t>AV2</t>
  </si>
  <si>
    <t>QP</t>
  </si>
  <si>
    <t>pnsr</t>
  </si>
  <si>
    <t>added bits</t>
  </si>
  <si>
    <t>vmaf</t>
  </si>
  <si>
    <t>ssim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</si>
</sst>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0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16" fillId="0" borderId="22" xfId="0" applyFont="1" applyBorder="1"/>
    <xf numFmtId="0" fontId="0" fillId="0" borderId="21" xfId="0" applyBorder="1" applyProtection="1">
      <protection locked="0"/>
    </xf>
    <xf numFmtId="0" fontId="0" fillId="0" borderId="0" xfId="0" applyProtection="1">
      <protection locked="0"/>
    </xf>
    <xf numFmtId="0" fontId="0" fillId="0" borderId="21" xfId="0" applyBorder="1"/>
    <xf numFmtId="0" fontId="16" fillId="0" borderId="23" xfId="0" applyFont="1" applyBorder="1"/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6" xfId="0" applyNumberFormat="1" applyFont="1" applyBorder="1"/>
    <xf numFmtId="164" fontId="23" fillId="0" borderId="27" xfId="0" applyNumberFormat="1" applyFont="1" applyBorder="1"/>
    <xf numFmtId="0" fontId="24" fillId="0" borderId="0" xfId="0" applyFont="1"/>
    <xf numFmtId="0" fontId="21" fillId="0" borderId="28" xfId="0" applyFont="1" applyBorder="1" applyAlignment="1">
      <alignment horizontal="left" vertical="center"/>
    </xf>
    <xf numFmtId="0" fontId="0" fillId="0" borderId="19" xfId="0" applyBorder="1"/>
    <xf numFmtId="0" fontId="16" fillId="0" borderId="29" xfId="0" applyFont="1" applyBorder="1" applyAlignment="1">
      <alignment horizontal="center"/>
    </xf>
    <xf numFmtId="0" fontId="0" fillId="33" borderId="19" xfId="0" applyFill="1" applyBorder="1"/>
    <xf numFmtId="2" fontId="0" fillId="0" borderId="19" xfId="0" applyNumberFormat="1" applyBorder="1"/>
    <xf numFmtId="2" fontId="25" fillId="0" borderId="19" xfId="0" applyNumberFormat="1" applyFont="1" applyBorder="1"/>
    <xf numFmtId="0" fontId="0" fillId="0" borderId="19" xfId="0" applyBorder="1" applyProtection="1">
      <protection locked="0"/>
    </xf>
    <xf numFmtId="0" fontId="16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25" fillId="0" borderId="19" xfId="0" applyFont="1" applyBorder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25" fillId="0" borderId="19" xfId="0" applyFont="1" applyBorder="1" applyAlignment="1">
      <alignment horizont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6228752273543945E-2"/>
          <c:y val="1.4817557839273583E-2"/>
          <c:w val="0.84571694985495238"/>
          <c:h val="0.91452914130414553"/>
        </c:manualLayout>
      </c:layout>
      <c:scatterChart>
        <c:scatterStyle val="lineMarker"/>
        <c:varyColors val="0"/>
        <c:ser>
          <c:idx val="0"/>
          <c:order val="0"/>
          <c:tx>
            <c:strRef>
              <c:f>PSNR!$B$3</c:f>
              <c:strCache>
                <c:ptCount val="1"/>
                <c:pt idx="0">
                  <c:v>AV2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PSNR!$B$5:$B$8</c:f>
              <c:numCache>
                <c:formatCode>General</c:formatCode>
                <c:ptCount val="4"/>
                <c:pt idx="0">
                  <c:v>12567.456</c:v>
                </c:pt>
                <c:pt idx="1">
                  <c:v>6802.4639999999999</c:v>
                </c:pt>
                <c:pt idx="2">
                  <c:v>3515.712</c:v>
                </c:pt>
                <c:pt idx="3">
                  <c:v>1484.4480000000001</c:v>
                </c:pt>
              </c:numCache>
            </c:numRef>
          </c:xVal>
          <c:yVal>
            <c:numRef>
              <c:f>PSNR!$C$5:$C$8</c:f>
              <c:numCache>
                <c:formatCode>General</c:formatCode>
                <c:ptCount val="4"/>
                <c:pt idx="0">
                  <c:v>42.143154000000003</c:v>
                </c:pt>
                <c:pt idx="1">
                  <c:v>39.216661999999999</c:v>
                </c:pt>
                <c:pt idx="2">
                  <c:v>35.642147000000001</c:v>
                </c:pt>
                <c:pt idx="3">
                  <c:v>31.650731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F-4632-879B-B89F363F88C8}"/>
            </c:ext>
          </c:extLst>
        </c:ser>
        <c:ser>
          <c:idx val="1"/>
          <c:order val="1"/>
          <c:tx>
            <c:strRef>
              <c:f>PSNR!$F$3</c:f>
              <c:strCache>
                <c:ptCount val="1"/>
                <c:pt idx="0">
                  <c:v>Sparse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B05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PSNR!$F$5:$F$8</c:f>
              <c:numCache>
                <c:formatCode>0.00</c:formatCode>
                <c:ptCount val="4"/>
                <c:pt idx="0">
                  <c:v>12603.315399999999</c:v>
                </c:pt>
                <c:pt idx="1">
                  <c:v>6838.6455999999998</c:v>
                </c:pt>
                <c:pt idx="2">
                  <c:v>3551.835</c:v>
                </c:pt>
                <c:pt idx="3">
                  <c:v>2001.4480000000001</c:v>
                </c:pt>
              </c:numCache>
            </c:numRef>
          </c:xVal>
          <c:yVal>
            <c:numRef>
              <c:f>PSNR!$G$5:$G$8</c:f>
              <c:numCache>
                <c:formatCode>0.00</c:formatCode>
                <c:ptCount val="4"/>
                <c:pt idx="0">
                  <c:v>42.163953999999997</c:v>
                </c:pt>
                <c:pt idx="1">
                  <c:v>39.239465000000003</c:v>
                </c:pt>
                <c:pt idx="2">
                  <c:v>35.666777000000003</c:v>
                </c:pt>
                <c:pt idx="3">
                  <c:v>31.770955000000001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F-4632-879B-B89F363F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0511811023621E-2"/>
          <c:y val="3.8067422423260923E-2"/>
          <c:w val="0.84571694985495238"/>
          <c:h val="0.91452914130414553"/>
        </c:manualLayout>
      </c:layout>
      <c:scatterChart>
        <c:scatterStyle val="lineMarker"/>
        <c:varyColors val="0"/>
        <c:ser>
          <c:idx val="0"/>
          <c:order val="0"/>
          <c:tx>
            <c:strRef>
              <c:f>VMAF!$B$3</c:f>
              <c:strCache>
                <c:ptCount val="1"/>
                <c:pt idx="0">
                  <c:v>AV2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VMAF!$B$5:$B$8</c:f>
              <c:numCache>
                <c:formatCode>General</c:formatCode>
                <c:ptCount val="4"/>
                <c:pt idx="0">
                  <c:v>12567.456</c:v>
                </c:pt>
                <c:pt idx="1">
                  <c:v>6802.4639999999999</c:v>
                </c:pt>
                <c:pt idx="2">
                  <c:v>3515.712</c:v>
                </c:pt>
                <c:pt idx="3">
                  <c:v>1484.4480000000001</c:v>
                </c:pt>
              </c:numCache>
            </c:numRef>
          </c:xVal>
          <c:yVal>
            <c:numRef>
              <c:f>VMAF!$C$5:$C$8</c:f>
              <c:numCache>
                <c:formatCode>General</c:formatCode>
                <c:ptCount val="4"/>
                <c:pt idx="0">
                  <c:v>95.005274999999997</c:v>
                </c:pt>
                <c:pt idx="1">
                  <c:v>88.068449999999999</c:v>
                </c:pt>
                <c:pt idx="2">
                  <c:v>73.504957000000005</c:v>
                </c:pt>
                <c:pt idx="3">
                  <c:v>48.669441999999997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8-4F4B-8F6B-957E1B8FDDFF}"/>
            </c:ext>
          </c:extLst>
        </c:ser>
        <c:ser>
          <c:idx val="1"/>
          <c:order val="1"/>
          <c:tx>
            <c:strRef>
              <c:f>VMAF!$F$3</c:f>
              <c:strCache>
                <c:ptCount val="1"/>
                <c:pt idx="0">
                  <c:v>Sparse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VMAF!$F$5:$F$8</c:f>
              <c:numCache>
                <c:formatCode>0.00</c:formatCode>
                <c:ptCount val="4"/>
                <c:pt idx="0">
                  <c:v>12603.315399999999</c:v>
                </c:pt>
                <c:pt idx="1">
                  <c:v>6838.6455999999998</c:v>
                </c:pt>
                <c:pt idx="2">
                  <c:v>3551.835</c:v>
                </c:pt>
                <c:pt idx="3">
                  <c:v>1524.9070000000002</c:v>
                </c:pt>
              </c:numCache>
            </c:numRef>
          </c:xVal>
          <c:yVal>
            <c:numRef>
              <c:f>VMAF!$G$5:$G$8</c:f>
              <c:numCache>
                <c:formatCode>0.00</c:formatCode>
                <c:ptCount val="4"/>
                <c:pt idx="0">
                  <c:v>94.966099</c:v>
                </c:pt>
                <c:pt idx="1">
                  <c:v>88.015471000000005</c:v>
                </c:pt>
                <c:pt idx="2">
                  <c:v>73.455089000000001</c:v>
                </c:pt>
                <c:pt idx="3">
                  <c:v>48.422280999999998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68-4F4B-8F6B-957E1B8FD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0511811023621E-2"/>
          <c:y val="3.8067422423260923E-2"/>
          <c:w val="0.84571694985495238"/>
          <c:h val="0.91452914130414553"/>
        </c:manualLayout>
      </c:layout>
      <c:scatterChart>
        <c:scatterStyle val="lineMarker"/>
        <c:varyColors val="0"/>
        <c:ser>
          <c:idx val="0"/>
          <c:order val="0"/>
          <c:tx>
            <c:strRef>
              <c:f>SSIM!$B$3</c:f>
              <c:strCache>
                <c:ptCount val="1"/>
                <c:pt idx="0">
                  <c:v>AV2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SSIM!$B$5:$B$8</c:f>
              <c:numCache>
                <c:formatCode>General</c:formatCode>
                <c:ptCount val="4"/>
                <c:pt idx="0">
                  <c:v>12567.456</c:v>
                </c:pt>
                <c:pt idx="1">
                  <c:v>6802.4639999999999</c:v>
                </c:pt>
                <c:pt idx="2">
                  <c:v>3515.712</c:v>
                </c:pt>
                <c:pt idx="3">
                  <c:v>1484.4480000000001</c:v>
                </c:pt>
              </c:numCache>
            </c:numRef>
          </c:xVal>
          <c:yVal>
            <c:numRef>
              <c:f>SSIM!$C$5:$C$8</c:f>
              <c:numCache>
                <c:formatCode>General</c:formatCode>
                <c:ptCount val="4"/>
                <c:pt idx="0">
                  <c:v>0.50280000000000002</c:v>
                </c:pt>
                <c:pt idx="1">
                  <c:v>0.46400000000000002</c:v>
                </c:pt>
                <c:pt idx="2">
                  <c:v>0.38100000000000001</c:v>
                </c:pt>
                <c:pt idx="3">
                  <c:v>0.28760000000000002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8-7C45-9D3E-4C5F878B4DD3}"/>
            </c:ext>
          </c:extLst>
        </c:ser>
        <c:ser>
          <c:idx val="1"/>
          <c:order val="1"/>
          <c:tx>
            <c:strRef>
              <c:f>SSIM!$F$3</c:f>
              <c:strCache>
                <c:ptCount val="1"/>
                <c:pt idx="0">
                  <c:v>Sparse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SSIM!$F$5:$F$8</c:f>
              <c:numCache>
                <c:formatCode>0.00</c:formatCode>
                <c:ptCount val="4"/>
                <c:pt idx="0">
                  <c:v>12603.315399999999</c:v>
                </c:pt>
                <c:pt idx="1">
                  <c:v>6838.6455999999998</c:v>
                </c:pt>
                <c:pt idx="2">
                  <c:v>3551.835</c:v>
                </c:pt>
                <c:pt idx="3">
                  <c:v>1524.9070000000002</c:v>
                </c:pt>
              </c:numCache>
            </c:numRef>
          </c:xVal>
          <c:yVal>
            <c:numRef>
              <c:f>SSIM!$G$5:$G$8</c:f>
              <c:numCache>
                <c:formatCode>0.00</c:formatCode>
                <c:ptCount val="4"/>
                <c:pt idx="0">
                  <c:v>0.51160000000000005</c:v>
                </c:pt>
                <c:pt idx="1">
                  <c:v>0.46400000000000002</c:v>
                </c:pt>
                <c:pt idx="2">
                  <c:v>0.4037</c:v>
                </c:pt>
                <c:pt idx="3">
                  <c:v>0.34859099999999998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68-7C45-9D3E-4C5F878B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383823</xdr:colOff>
      <xdr:row>5</xdr:row>
      <xdr:rowOff>149577</xdr:rowOff>
    </xdr:from>
    <xdr:to>
      <xdr:col>25</xdr:col>
      <xdr:colOff>320323</xdr:colOff>
      <xdr:row>33</xdr:row>
      <xdr:rowOff>136878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177800</xdr:colOff>
      <xdr:row>12</xdr:row>
      <xdr:rowOff>38100</xdr:rowOff>
    </xdr:from>
    <xdr:to>
      <xdr:col>29</xdr:col>
      <xdr:colOff>241300</xdr:colOff>
      <xdr:row>40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AABF53-40A2-184C-872E-91A53E221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139700</xdr:colOff>
      <xdr:row>6</xdr:row>
      <xdr:rowOff>12700</xdr:rowOff>
    </xdr:from>
    <xdr:to>
      <xdr:col>23</xdr:col>
      <xdr:colOff>660400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F016CF-7A2E-C54E-84C5-DA1A62102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workbookViewId="0"/>
  </sheetViews>
  <sheetFormatPr baseColWidth="10" defaultColWidth="11.5" defaultRowHeight="15" x14ac:dyDescent="0.2"/>
  <sheetData>
    <row r="1" spans="1:5" x14ac:dyDescent="0.2">
      <c r="A1" s="1" t="s">
        <v>14</v>
      </c>
    </row>
    <row r="3" spans="1:5" x14ac:dyDescent="0.2">
      <c r="A3" s="1" t="s">
        <v>20</v>
      </c>
    </row>
    <row r="4" spans="1:5" x14ac:dyDescent="0.2">
      <c r="B4" t="s">
        <v>15</v>
      </c>
      <c r="E4" t="s">
        <v>16</v>
      </c>
    </row>
    <row r="5" spans="1:5" x14ac:dyDescent="0.2">
      <c r="B5" t="s">
        <v>17</v>
      </c>
      <c r="E5" t="s">
        <v>18</v>
      </c>
    </row>
    <row r="7" spans="1:5" x14ac:dyDescent="0.2">
      <c r="A7" s="1" t="s">
        <v>19</v>
      </c>
    </row>
    <row r="8" spans="1:5" x14ac:dyDescent="0.2">
      <c r="B8" t="s">
        <v>21</v>
      </c>
    </row>
    <row r="10" spans="1:5" x14ac:dyDescent="0.2">
      <c r="A10" s="1" t="s">
        <v>22</v>
      </c>
    </row>
    <row r="11" spans="1:5" x14ac:dyDescent="0.2">
      <c r="B11" t="s">
        <v>23</v>
      </c>
    </row>
    <row r="12" spans="1:5" x14ac:dyDescent="0.2">
      <c r="B12" t="s">
        <v>24</v>
      </c>
    </row>
    <row r="14" spans="1:5" x14ac:dyDescent="0.2">
      <c r="A14" s="33" t="s">
        <v>25</v>
      </c>
    </row>
    <row r="15" spans="1:5" x14ac:dyDescent="0.2">
      <c r="A15" s="33" t="s">
        <v>26</v>
      </c>
    </row>
    <row r="16" spans="1:5" x14ac:dyDescent="0.2">
      <c r="A16" s="33"/>
    </row>
    <row r="17" spans="1:1" x14ac:dyDescent="0.2">
      <c r="A17" s="33" t="s">
        <v>27</v>
      </c>
    </row>
    <row r="18" spans="1:1" x14ac:dyDescent="0.2">
      <c r="A18" s="33" t="s">
        <v>28</v>
      </c>
    </row>
    <row r="19" spans="1:1" x14ac:dyDescent="0.2">
      <c r="A19" s="33" t="s">
        <v>29</v>
      </c>
    </row>
    <row r="20" spans="1:1" x14ac:dyDescent="0.2">
      <c r="A20" s="33" t="s">
        <v>30</v>
      </c>
    </row>
    <row r="21" spans="1:1" x14ac:dyDescent="0.2">
      <c r="A21" s="33" t="s">
        <v>31</v>
      </c>
    </row>
    <row r="22" spans="1:1" x14ac:dyDescent="0.2">
      <c r="A22" s="33"/>
    </row>
    <row r="23" spans="1:1" x14ac:dyDescent="0.2">
      <c r="A23" t="s">
        <v>32</v>
      </c>
    </row>
    <row r="24" spans="1:1" x14ac:dyDescent="0.2">
      <c r="A24" t="s">
        <v>33</v>
      </c>
    </row>
    <row r="26" spans="1:1" x14ac:dyDescent="0.2">
      <c r="A26" t="s">
        <v>39</v>
      </c>
    </row>
    <row r="27" spans="1:1" x14ac:dyDescent="0.2">
      <c r="A27" t="s">
        <v>38</v>
      </c>
    </row>
    <row r="28" spans="1:1" x14ac:dyDescent="0.2">
      <c r="A28" t="s">
        <v>37</v>
      </c>
    </row>
    <row r="29" spans="1:1" x14ac:dyDescent="0.2">
      <c r="A29" t="s">
        <v>36</v>
      </c>
    </row>
    <row r="30" spans="1:1" x14ac:dyDescent="0.2">
      <c r="A30" t="s">
        <v>35</v>
      </c>
    </row>
    <row r="31" spans="1:1" x14ac:dyDescent="0.2">
      <c r="A31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1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2.5" bestFit="1" customWidth="1"/>
    <col min="2" max="2" width="10.5" style="3" bestFit="1" customWidth="1"/>
    <col min="3" max="3" width="10.5" style="3" customWidth="1"/>
    <col min="9" max="10" width="8.83203125" style="3"/>
    <col min="12" max="12" width="11.5" bestFit="1" customWidth="1"/>
  </cols>
  <sheetData>
    <row r="1" spans="1:14" x14ac:dyDescent="0.2">
      <c r="A1" s="46" t="s">
        <v>5</v>
      </c>
      <c r="B1" s="46"/>
      <c r="C1" s="5"/>
      <c r="D1" s="45" t="s">
        <v>1</v>
      </c>
      <c r="E1" s="45"/>
      <c r="F1" s="45" t="s">
        <v>2</v>
      </c>
      <c r="G1" s="45"/>
      <c r="H1" s="1"/>
      <c r="I1" s="9"/>
      <c r="J1" s="10"/>
    </row>
    <row r="2" spans="1:14" x14ac:dyDescent="0.2">
      <c r="A2" s="1" t="s">
        <v>3</v>
      </c>
      <c r="B2" s="2" t="s">
        <v>4</v>
      </c>
      <c r="C2" s="2" t="s">
        <v>8</v>
      </c>
      <c r="D2" s="2" t="s">
        <v>6</v>
      </c>
      <c r="E2" s="2" t="s">
        <v>7</v>
      </c>
      <c r="F2" s="2" t="s">
        <v>6</v>
      </c>
      <c r="G2" s="2" t="s">
        <v>7</v>
      </c>
      <c r="H2" s="2"/>
      <c r="I2" s="2" t="s">
        <v>45</v>
      </c>
      <c r="J2" s="2" t="s">
        <v>44</v>
      </c>
      <c r="K2" s="2"/>
    </row>
    <row r="3" spans="1:14" x14ac:dyDescent="0.2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 cm="1">
        <f t="array" ref="I3">BDSNR($D3:$D11,$E3:$E11,$F3:$F11,$G3:$G11)</f>
        <v>7.2296844856407055E-2</v>
      </c>
      <c r="J3" s="3" cm="1">
        <f t="array" ref="J3">BDBR($D3:$D11,$E3:$E11,$F3:$F11,$G3:$G11)</f>
        <v>-0.90345048358024815</v>
      </c>
      <c r="M3" s="6"/>
      <c r="N3" s="8"/>
    </row>
    <row r="4" spans="1:14" x14ac:dyDescent="0.2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4"/>
      <c r="N4" s="7"/>
    </row>
    <row r="5" spans="1:14" x14ac:dyDescent="0.2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4"/>
      <c r="N5" s="8"/>
    </row>
    <row r="6" spans="1:14" x14ac:dyDescent="0.2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4"/>
    </row>
    <row r="7" spans="1:14" x14ac:dyDescent="0.2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4"/>
    </row>
    <row r="8" spans="1:14" x14ac:dyDescent="0.2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4"/>
    </row>
    <row r="9" spans="1:14" x14ac:dyDescent="0.2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4"/>
      <c r="N9" s="8"/>
    </row>
    <row r="10" spans="1:14" x14ac:dyDescent="0.2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4"/>
    </row>
    <row r="11" spans="1:14" x14ac:dyDescent="0.2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4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02"/>
  <sheetViews>
    <sheetView tabSelected="1" zoomScale="108" zoomScaleNormal="120" workbookViewId="0">
      <selection activeCell="C9" sqref="C9"/>
    </sheetView>
  </sheetViews>
  <sheetFormatPr baseColWidth="10" defaultColWidth="8.83203125" defaultRowHeight="15" x14ac:dyDescent="0.2"/>
  <cols>
    <col min="2" max="2" width="14.83203125" customWidth="1"/>
    <col min="3" max="3" width="8" style="25" bestFit="1" customWidth="1"/>
    <col min="4" max="5" width="10.1640625" bestFit="1" customWidth="1"/>
    <col min="6" max="6" width="10" bestFit="1" customWidth="1"/>
    <col min="7" max="7" width="8" style="25" bestFit="1" customWidth="1"/>
    <col min="8" max="8" width="11.83203125" bestFit="1" customWidth="1"/>
    <col min="9" max="9" width="9.83203125" bestFit="1" customWidth="1"/>
    <col min="10" max="10" width="10.5" bestFit="1" customWidth="1"/>
    <col min="11" max="11" width="9" bestFit="1" customWidth="1"/>
    <col min="15" max="15" width="17" customWidth="1"/>
    <col min="16" max="16" width="10.5" bestFit="1" customWidth="1"/>
  </cols>
  <sheetData>
    <row r="1" spans="1:17" x14ac:dyDescent="0.2">
      <c r="B1" s="1" t="s">
        <v>12</v>
      </c>
      <c r="O1" s="1" t="s">
        <v>13</v>
      </c>
    </row>
    <row r="2" spans="1:17" ht="16" thickBot="1" x14ac:dyDescent="0.25"/>
    <row r="3" spans="1:17" x14ac:dyDescent="0.2">
      <c r="B3" s="47" t="s">
        <v>47</v>
      </c>
      <c r="C3" s="48"/>
      <c r="D3" s="36"/>
      <c r="E3" s="36"/>
      <c r="F3" s="47" t="s">
        <v>46</v>
      </c>
      <c r="G3" s="48"/>
      <c r="H3" s="11" t="s">
        <v>43</v>
      </c>
      <c r="I3" s="12" t="s">
        <v>42</v>
      </c>
      <c r="J3" s="11" t="s">
        <v>40</v>
      </c>
      <c r="K3" s="13" t="s">
        <v>41</v>
      </c>
      <c r="L3" s="14"/>
      <c r="M3" s="15"/>
      <c r="O3" s="26" t="s">
        <v>11</v>
      </c>
      <c r="P3" s="27" t="s">
        <v>43</v>
      </c>
      <c r="Q3" s="28" t="s">
        <v>42</v>
      </c>
    </row>
    <row r="4" spans="1:17" ht="17" thickBot="1" x14ac:dyDescent="0.25">
      <c r="A4" t="s">
        <v>48</v>
      </c>
      <c r="B4" s="41" t="s">
        <v>9</v>
      </c>
      <c r="C4" s="42" t="s">
        <v>10</v>
      </c>
      <c r="D4" s="2" t="s">
        <v>49</v>
      </c>
      <c r="E4" s="2" t="s">
        <v>50</v>
      </c>
      <c r="F4" s="2" t="s">
        <v>9</v>
      </c>
      <c r="G4" s="42" t="s">
        <v>10</v>
      </c>
      <c r="H4" s="29">
        <v>0.80071318397395785</v>
      </c>
      <c r="I4" s="30">
        <v>-13.261772993093556</v>
      </c>
      <c r="J4" s="19">
        <v>4</v>
      </c>
      <c r="K4" s="20">
        <v>4</v>
      </c>
      <c r="L4" s="21" t="str">
        <f>B3</f>
        <v>AV2</v>
      </c>
      <c r="O4" s="34"/>
      <c r="P4" s="31" cm="1">
        <f t="array" ref="P4">BDSNR(B5:B10,C5:C10,F5:F10,G5:G10)</f>
        <v>-0.32394574706264195</v>
      </c>
      <c r="Q4" s="32" cm="1">
        <f t="array" ref="Q4">BDBR(B5:B10,C5:C10,F5:F10,G5:G10)</f>
        <v>6.2110392454875374</v>
      </c>
    </row>
    <row r="5" spans="1:17" ht="16" x14ac:dyDescent="0.2">
      <c r="A5" s="43">
        <v>110</v>
      </c>
      <c r="B5" s="35">
        <v>12567.456</v>
      </c>
      <c r="C5" s="35">
        <v>42.143154000000003</v>
      </c>
      <c r="D5" s="35">
        <v>42.163953999999997</v>
      </c>
      <c r="E5" s="35">
        <v>35.859400000000001</v>
      </c>
      <c r="F5" s="39">
        <f>B5+E5</f>
        <v>12603.315399999999</v>
      </c>
      <c r="G5" s="38">
        <f>D5</f>
        <v>42.163953999999997</v>
      </c>
      <c r="J5" s="19"/>
      <c r="K5" s="20"/>
      <c r="L5" s="22"/>
    </row>
    <row r="6" spans="1:17" ht="16" x14ac:dyDescent="0.2">
      <c r="A6" s="43">
        <v>135</v>
      </c>
      <c r="B6" s="35">
        <v>6802.4639999999999</v>
      </c>
      <c r="C6" s="35">
        <v>39.216661999999999</v>
      </c>
      <c r="D6" s="35">
        <v>39.239465000000003</v>
      </c>
      <c r="E6" s="38">
        <v>36.181600000000003</v>
      </c>
      <c r="F6" s="39">
        <f t="shared" ref="F6:F10" si="0">B6+E6</f>
        <v>6838.6455999999998</v>
      </c>
      <c r="G6" s="38">
        <f t="shared" ref="G6:G10" si="1">D6</f>
        <v>39.239465000000003</v>
      </c>
    </row>
    <row r="7" spans="1:17" ht="16" x14ac:dyDescent="0.2">
      <c r="A7" s="43">
        <v>160</v>
      </c>
      <c r="B7" s="35">
        <v>3515.712</v>
      </c>
      <c r="C7" s="35">
        <v>35.642147000000001</v>
      </c>
      <c r="D7" s="35">
        <v>35.666777000000003</v>
      </c>
      <c r="E7" s="38">
        <v>36.122999999999998</v>
      </c>
      <c r="F7" s="39">
        <f t="shared" si="0"/>
        <v>3551.835</v>
      </c>
      <c r="G7" s="38">
        <f t="shared" si="1"/>
        <v>35.666777000000003</v>
      </c>
    </row>
    <row r="8" spans="1:17" ht="16" x14ac:dyDescent="0.2">
      <c r="A8" s="43">
        <v>185</v>
      </c>
      <c r="B8" s="35">
        <v>1484.4480000000001</v>
      </c>
      <c r="C8" s="35">
        <v>31.650731</v>
      </c>
      <c r="D8" s="35">
        <v>31.770955000000001</v>
      </c>
      <c r="E8" s="35">
        <v>517</v>
      </c>
      <c r="F8" s="39">
        <f t="shared" si="0"/>
        <v>2001.4480000000001</v>
      </c>
      <c r="G8" s="38">
        <f t="shared" si="1"/>
        <v>31.770955000000001</v>
      </c>
    </row>
    <row r="9" spans="1:17" ht="16" x14ac:dyDescent="0.2">
      <c r="A9" s="43">
        <v>210</v>
      </c>
      <c r="B9" s="35">
        <v>477.024</v>
      </c>
      <c r="C9" s="35">
        <v>28.104918999999999</v>
      </c>
      <c r="D9" s="35">
        <v>28.339893</v>
      </c>
      <c r="E9" s="38">
        <v>46.230499999999999</v>
      </c>
      <c r="F9" s="39">
        <f t="shared" si="0"/>
        <v>523.25450000000001</v>
      </c>
      <c r="G9" s="38">
        <f t="shared" si="1"/>
        <v>28.339893</v>
      </c>
    </row>
    <row r="10" spans="1:17" ht="16" x14ac:dyDescent="0.2">
      <c r="A10" s="43">
        <v>85</v>
      </c>
      <c r="B10" s="35">
        <v>26672.928</v>
      </c>
      <c r="C10" s="35">
        <v>44.955126</v>
      </c>
      <c r="D10" s="35">
        <v>44.964252000000002</v>
      </c>
      <c r="E10" s="38">
        <v>35.712899999999998</v>
      </c>
      <c r="F10" s="39">
        <f t="shared" si="0"/>
        <v>26708.640899999999</v>
      </c>
      <c r="G10" s="38">
        <f t="shared" si="1"/>
        <v>44.964252000000002</v>
      </c>
    </row>
    <row r="11" spans="1:17" x14ac:dyDescent="0.2">
      <c r="A11" s="43">
        <v>110</v>
      </c>
      <c r="B11" s="40"/>
      <c r="C11" s="40"/>
      <c r="D11" s="40"/>
      <c r="E11" s="40"/>
      <c r="F11" s="40"/>
      <c r="G11" s="40"/>
    </row>
    <row r="12" spans="1:17" ht="16" x14ac:dyDescent="0.2">
      <c r="A12" s="43">
        <v>135</v>
      </c>
      <c r="B12" s="49"/>
      <c r="C12" s="49"/>
      <c r="D12" s="49"/>
      <c r="E12" s="40"/>
      <c r="F12" s="40"/>
      <c r="G12" s="40"/>
    </row>
    <row r="13" spans="1:17" ht="16" x14ac:dyDescent="0.2">
      <c r="A13" s="43">
        <v>160</v>
      </c>
      <c r="B13" s="35"/>
      <c r="C13" s="35"/>
      <c r="D13" s="35"/>
      <c r="E13" s="35"/>
      <c r="F13" s="39"/>
      <c r="G13" s="38"/>
    </row>
    <row r="14" spans="1:17" ht="16" x14ac:dyDescent="0.2">
      <c r="A14" s="43">
        <v>185</v>
      </c>
      <c r="B14" s="35"/>
      <c r="C14" s="35"/>
      <c r="D14" s="35"/>
      <c r="E14" s="38"/>
      <c r="F14" s="39"/>
      <c r="G14" s="38"/>
    </row>
    <row r="15" spans="1:17" ht="16" x14ac:dyDescent="0.2">
      <c r="A15" s="43">
        <v>210</v>
      </c>
      <c r="B15" s="35"/>
      <c r="C15" s="35"/>
      <c r="D15" s="35"/>
      <c r="E15" s="38"/>
      <c r="F15" s="39"/>
      <c r="G15" s="38"/>
    </row>
    <row r="16" spans="1:17" ht="16" x14ac:dyDescent="0.2">
      <c r="A16" s="43">
        <v>85</v>
      </c>
      <c r="B16" s="35"/>
      <c r="C16" s="35"/>
      <c r="D16" s="35"/>
      <c r="E16" s="35"/>
      <c r="F16" s="39"/>
      <c r="G16" s="38"/>
    </row>
    <row r="17" spans="1:7" ht="16" x14ac:dyDescent="0.2">
      <c r="A17" s="43">
        <v>110</v>
      </c>
      <c r="B17" s="35"/>
      <c r="C17" s="35"/>
      <c r="D17" s="37"/>
      <c r="E17" s="38"/>
      <c r="F17" s="39"/>
      <c r="G17" s="38"/>
    </row>
    <row r="18" spans="1:7" ht="16" x14ac:dyDescent="0.2">
      <c r="A18" s="43">
        <v>135</v>
      </c>
      <c r="B18" s="35"/>
      <c r="C18" s="35"/>
      <c r="D18" s="35"/>
      <c r="E18" s="38"/>
      <c r="F18" s="39"/>
      <c r="G18" s="38"/>
    </row>
    <row r="19" spans="1:7" x14ac:dyDescent="0.2">
      <c r="A19" s="43">
        <v>160</v>
      </c>
      <c r="B19" s="40"/>
      <c r="C19" s="40"/>
      <c r="D19" s="35"/>
      <c r="E19" s="40"/>
      <c r="F19" s="40"/>
      <c r="G19" s="40"/>
    </row>
    <row r="20" spans="1:7" ht="16" x14ac:dyDescent="0.2">
      <c r="A20" s="43">
        <v>185</v>
      </c>
      <c r="B20" s="49"/>
      <c r="C20" s="49"/>
      <c r="D20" s="49"/>
      <c r="E20" s="40"/>
      <c r="F20" s="40"/>
      <c r="G20" s="40"/>
    </row>
    <row r="21" spans="1:7" ht="16" x14ac:dyDescent="0.2">
      <c r="A21" s="43">
        <v>210</v>
      </c>
      <c r="B21" s="35"/>
      <c r="C21" s="35"/>
      <c r="D21" s="35"/>
      <c r="E21" s="35"/>
      <c r="F21" s="39"/>
      <c r="G21" s="38"/>
    </row>
    <row r="22" spans="1:7" ht="16" x14ac:dyDescent="0.2">
      <c r="A22" s="43">
        <v>85</v>
      </c>
      <c r="B22" s="35"/>
      <c r="C22" s="35"/>
      <c r="D22" s="35"/>
      <c r="E22" s="38"/>
      <c r="F22" s="39"/>
      <c r="G22" s="38"/>
    </row>
    <row r="23" spans="1:7" ht="16" x14ac:dyDescent="0.2">
      <c r="A23" s="43">
        <v>110</v>
      </c>
      <c r="B23" s="35"/>
      <c r="C23" s="35"/>
      <c r="D23" s="35"/>
      <c r="E23" s="38"/>
      <c r="F23" s="39"/>
      <c r="G23" s="38"/>
    </row>
    <row r="24" spans="1:7" ht="16" x14ac:dyDescent="0.2">
      <c r="A24" s="43">
        <v>135</v>
      </c>
      <c r="B24" s="35"/>
      <c r="C24" s="35"/>
      <c r="D24" s="35"/>
      <c r="E24" s="35"/>
      <c r="F24" s="39"/>
      <c r="G24" s="38"/>
    </row>
    <row r="25" spans="1:7" ht="16" x14ac:dyDescent="0.2">
      <c r="A25" s="43">
        <v>160</v>
      </c>
      <c r="B25" s="35"/>
      <c r="C25" s="35"/>
      <c r="D25" s="35"/>
      <c r="E25" s="38"/>
      <c r="F25" s="39"/>
      <c r="G25" s="38"/>
    </row>
    <row r="26" spans="1:7" ht="16" x14ac:dyDescent="0.2">
      <c r="A26" s="43">
        <v>185</v>
      </c>
      <c r="B26" s="35"/>
      <c r="C26" s="35"/>
      <c r="D26" s="35"/>
      <c r="E26" s="38"/>
      <c r="F26" s="39"/>
      <c r="G26" s="38"/>
    </row>
    <row r="27" spans="1:7" x14ac:dyDescent="0.2">
      <c r="A27" s="43">
        <v>210</v>
      </c>
      <c r="B27" s="40"/>
      <c r="C27" s="40"/>
      <c r="D27" s="40"/>
      <c r="E27" s="40"/>
      <c r="F27" s="40"/>
      <c r="G27" s="40"/>
    </row>
    <row r="28" spans="1:7" ht="16" x14ac:dyDescent="0.2">
      <c r="A28" s="43">
        <v>85</v>
      </c>
      <c r="B28" s="49"/>
      <c r="C28" s="49"/>
      <c r="D28" s="49"/>
      <c r="E28" s="40"/>
      <c r="F28" s="40"/>
      <c r="G28" s="40"/>
    </row>
    <row r="29" spans="1:7" ht="16" x14ac:dyDescent="0.2">
      <c r="A29" s="35"/>
      <c r="B29" s="35"/>
      <c r="C29" s="35"/>
      <c r="D29" s="35"/>
      <c r="E29" s="35"/>
      <c r="F29" s="39"/>
      <c r="G29" s="38"/>
    </row>
    <row r="30" spans="1:7" ht="16" x14ac:dyDescent="0.2">
      <c r="A30" s="35"/>
      <c r="B30" s="35"/>
      <c r="C30" s="35"/>
      <c r="D30" s="35"/>
      <c r="E30" s="38"/>
      <c r="F30" s="39"/>
      <c r="G30" s="38"/>
    </row>
    <row r="31" spans="1:7" ht="16" x14ac:dyDescent="0.2">
      <c r="A31" s="35"/>
      <c r="B31" s="35"/>
      <c r="C31" s="35"/>
      <c r="D31" s="35"/>
      <c r="E31" s="38"/>
      <c r="F31" s="39"/>
      <c r="G31" s="38"/>
    </row>
    <row r="32" spans="1:7" ht="16" x14ac:dyDescent="0.2">
      <c r="A32" s="35"/>
      <c r="B32" s="35"/>
      <c r="C32" s="35"/>
      <c r="D32" s="35"/>
      <c r="E32" s="35"/>
      <c r="F32" s="39"/>
      <c r="G32" s="38"/>
    </row>
    <row r="33" spans="1:7" ht="16" x14ac:dyDescent="0.2">
      <c r="A33" s="35"/>
      <c r="B33" s="35"/>
      <c r="C33" s="35"/>
      <c r="D33" s="35"/>
      <c r="E33" s="38"/>
      <c r="F33" s="39"/>
      <c r="G33" s="38"/>
    </row>
    <row r="34" spans="1:7" ht="16" x14ac:dyDescent="0.2">
      <c r="A34" s="35"/>
      <c r="B34" s="35"/>
      <c r="C34" s="35"/>
      <c r="D34" s="35"/>
      <c r="E34" s="38"/>
      <c r="F34" s="39"/>
      <c r="G34" s="38"/>
    </row>
    <row r="35" spans="1:7" x14ac:dyDescent="0.2">
      <c r="A35" s="35"/>
      <c r="B35" s="40"/>
      <c r="C35" s="40"/>
      <c r="D35" s="40"/>
      <c r="E35" s="40"/>
      <c r="F35" s="40"/>
      <c r="G35" s="40"/>
    </row>
    <row r="36" spans="1:7" x14ac:dyDescent="0.2">
      <c r="A36" s="35"/>
      <c r="B36" s="40"/>
      <c r="C36" s="40"/>
      <c r="D36" s="40"/>
      <c r="E36" s="40"/>
      <c r="F36" s="40"/>
      <c r="G36" s="40"/>
    </row>
    <row r="37" spans="1:7" x14ac:dyDescent="0.2">
      <c r="A37" s="35"/>
      <c r="B37" s="40"/>
      <c r="C37" s="40"/>
      <c r="D37" s="40"/>
      <c r="E37" s="40"/>
      <c r="F37" s="40"/>
      <c r="G37" s="40"/>
    </row>
    <row r="38" spans="1:7" x14ac:dyDescent="0.2">
      <c r="A38" s="35"/>
      <c r="B38" s="40"/>
      <c r="C38" s="40"/>
      <c r="D38" s="40"/>
      <c r="E38" s="40"/>
      <c r="F38" s="40"/>
      <c r="G38" s="40"/>
    </row>
    <row r="39" spans="1:7" x14ac:dyDescent="0.2">
      <c r="B39" s="24"/>
      <c r="C39" s="23"/>
      <c r="D39" s="24"/>
      <c r="E39" s="24"/>
      <c r="F39" s="24"/>
      <c r="G39" s="23"/>
    </row>
    <row r="40" spans="1:7" x14ac:dyDescent="0.2">
      <c r="B40" s="24"/>
      <c r="C40" s="23"/>
      <c r="D40" s="24"/>
      <c r="E40" s="24"/>
      <c r="F40" s="24"/>
      <c r="G40" s="23"/>
    </row>
    <row r="41" spans="1:7" x14ac:dyDescent="0.2">
      <c r="B41" s="24"/>
      <c r="C41" s="23"/>
      <c r="D41" s="24"/>
      <c r="E41" s="24"/>
      <c r="F41" s="24"/>
      <c r="G41" s="23"/>
    </row>
    <row r="42" spans="1:7" x14ac:dyDescent="0.2">
      <c r="B42" s="24"/>
      <c r="C42" s="23"/>
      <c r="D42" s="24"/>
      <c r="E42" s="24"/>
      <c r="F42" s="24"/>
      <c r="G42" s="23"/>
    </row>
    <row r="43" spans="1:7" x14ac:dyDescent="0.2">
      <c r="B43" s="24"/>
      <c r="C43" s="23"/>
      <c r="D43" s="24"/>
      <c r="E43" s="24"/>
      <c r="F43" s="24"/>
      <c r="G43" s="23"/>
    </row>
    <row r="44" spans="1:7" x14ac:dyDescent="0.2">
      <c r="B44" s="24"/>
      <c r="C44" s="23"/>
      <c r="D44" s="24"/>
      <c r="E44" s="24"/>
      <c r="F44" s="24"/>
      <c r="G44" s="23"/>
    </row>
    <row r="45" spans="1:7" x14ac:dyDescent="0.2">
      <c r="B45" s="24"/>
      <c r="C45" s="23"/>
      <c r="D45" s="24"/>
      <c r="E45" s="24"/>
      <c r="F45" s="24"/>
      <c r="G45" s="23"/>
    </row>
    <row r="46" spans="1:7" x14ac:dyDescent="0.2">
      <c r="B46" s="24"/>
      <c r="C46" s="23"/>
      <c r="D46" s="24"/>
      <c r="E46" s="24"/>
      <c r="F46" s="24"/>
      <c r="G46" s="23"/>
    </row>
    <row r="47" spans="1:7" x14ac:dyDescent="0.2">
      <c r="B47" s="24"/>
      <c r="C47" s="23"/>
      <c r="D47" s="24"/>
      <c r="E47" s="24"/>
      <c r="F47" s="24"/>
      <c r="G47" s="23"/>
    </row>
    <row r="48" spans="1:7" x14ac:dyDescent="0.2">
      <c r="B48" s="24"/>
      <c r="C48" s="23"/>
      <c r="D48" s="24"/>
      <c r="E48" s="24"/>
      <c r="F48" s="24"/>
      <c r="G48" s="23"/>
    </row>
    <row r="49" spans="2:7" x14ac:dyDescent="0.2">
      <c r="B49" s="24"/>
      <c r="C49" s="23"/>
      <c r="D49" s="24"/>
      <c r="E49" s="24"/>
      <c r="F49" s="24"/>
      <c r="G49" s="23"/>
    </row>
    <row r="50" spans="2:7" x14ac:dyDescent="0.2">
      <c r="B50" s="24"/>
      <c r="C50" s="23"/>
      <c r="D50" s="24"/>
      <c r="E50" s="24"/>
      <c r="F50" s="24"/>
      <c r="G50" s="23"/>
    </row>
    <row r="51" spans="2:7" x14ac:dyDescent="0.2">
      <c r="B51" s="24"/>
      <c r="C51" s="23"/>
      <c r="D51" s="24"/>
      <c r="E51" s="24"/>
      <c r="F51" s="24"/>
      <c r="G51" s="23"/>
    </row>
    <row r="52" spans="2:7" x14ac:dyDescent="0.2">
      <c r="B52" s="24"/>
      <c r="C52" s="23"/>
      <c r="D52" s="24"/>
      <c r="E52" s="24"/>
      <c r="F52" s="24"/>
      <c r="G52" s="23"/>
    </row>
    <row r="53" spans="2:7" x14ac:dyDescent="0.2">
      <c r="B53" s="24"/>
      <c r="C53" s="23"/>
      <c r="D53" s="24"/>
      <c r="E53" s="24"/>
      <c r="F53" s="24"/>
      <c r="G53" s="23"/>
    </row>
    <row r="54" spans="2:7" x14ac:dyDescent="0.2">
      <c r="B54" s="24"/>
      <c r="C54" s="23"/>
      <c r="D54" s="24"/>
      <c r="E54" s="24"/>
      <c r="F54" s="24"/>
      <c r="G54" s="23"/>
    </row>
    <row r="55" spans="2:7" x14ac:dyDescent="0.2">
      <c r="B55" s="24"/>
      <c r="C55" s="23"/>
      <c r="D55" s="24"/>
      <c r="E55" s="24"/>
      <c r="F55" s="24"/>
      <c r="G55" s="23"/>
    </row>
    <row r="56" spans="2:7" x14ac:dyDescent="0.2">
      <c r="B56" s="24"/>
      <c r="C56" s="23"/>
      <c r="D56" s="24"/>
      <c r="E56" s="24"/>
      <c r="F56" s="24"/>
      <c r="G56" s="23"/>
    </row>
    <row r="57" spans="2:7" x14ac:dyDescent="0.2">
      <c r="B57" s="24"/>
      <c r="C57" s="23"/>
      <c r="D57" s="24"/>
      <c r="E57" s="24"/>
      <c r="F57" s="24"/>
      <c r="G57" s="23"/>
    </row>
    <row r="58" spans="2:7" x14ac:dyDescent="0.2">
      <c r="B58" s="24"/>
      <c r="C58" s="23"/>
      <c r="D58" s="24"/>
      <c r="E58" s="24"/>
      <c r="F58" s="24"/>
      <c r="G58" s="23"/>
    </row>
    <row r="59" spans="2:7" x14ac:dyDescent="0.2">
      <c r="B59" s="24"/>
      <c r="C59" s="23"/>
      <c r="D59" s="24"/>
      <c r="E59" s="24"/>
      <c r="F59" s="24"/>
      <c r="G59" s="23"/>
    </row>
    <row r="60" spans="2:7" x14ac:dyDescent="0.2">
      <c r="B60" s="24"/>
      <c r="C60" s="23"/>
      <c r="D60" s="24"/>
      <c r="E60" s="24"/>
      <c r="F60" s="24"/>
      <c r="G60" s="23"/>
    </row>
    <row r="61" spans="2:7" x14ac:dyDescent="0.2">
      <c r="B61" s="24"/>
      <c r="C61" s="23"/>
      <c r="D61" s="24"/>
      <c r="E61" s="24"/>
      <c r="F61" s="24"/>
      <c r="G61" s="23"/>
    </row>
    <row r="62" spans="2:7" x14ac:dyDescent="0.2">
      <c r="B62" s="24"/>
      <c r="C62" s="23"/>
      <c r="D62" s="24"/>
      <c r="E62" s="24"/>
      <c r="F62" s="24"/>
      <c r="G62" s="23"/>
    </row>
    <row r="63" spans="2:7" x14ac:dyDescent="0.2">
      <c r="B63" s="24"/>
      <c r="C63" s="23"/>
      <c r="D63" s="24"/>
      <c r="E63" s="24"/>
      <c r="F63" s="24"/>
      <c r="G63" s="23"/>
    </row>
    <row r="64" spans="2:7" x14ac:dyDescent="0.2">
      <c r="B64" s="24"/>
      <c r="C64" s="23"/>
      <c r="D64" s="24"/>
      <c r="E64" s="24"/>
      <c r="F64" s="24"/>
      <c r="G64" s="23"/>
    </row>
    <row r="65" spans="2:7" x14ac:dyDescent="0.2">
      <c r="B65" s="24"/>
      <c r="C65" s="23"/>
      <c r="D65" s="24"/>
      <c r="E65" s="24"/>
      <c r="F65" s="24"/>
      <c r="G65" s="23"/>
    </row>
    <row r="66" spans="2:7" x14ac:dyDescent="0.2">
      <c r="B66" s="24"/>
      <c r="C66" s="23"/>
      <c r="D66" s="24"/>
      <c r="E66" s="24"/>
      <c r="F66" s="24"/>
      <c r="G66" s="23"/>
    </row>
    <row r="67" spans="2:7" x14ac:dyDescent="0.2">
      <c r="B67" s="24"/>
      <c r="C67" s="23"/>
      <c r="D67" s="24"/>
      <c r="E67" s="24"/>
      <c r="F67" s="24"/>
      <c r="G67" s="23"/>
    </row>
    <row r="68" spans="2:7" x14ac:dyDescent="0.2">
      <c r="B68" s="24"/>
      <c r="C68" s="23"/>
      <c r="D68" s="24"/>
      <c r="E68" s="24"/>
      <c r="F68" s="24"/>
      <c r="G68" s="23"/>
    </row>
    <row r="69" spans="2:7" x14ac:dyDescent="0.2">
      <c r="B69" s="24"/>
      <c r="C69" s="23"/>
      <c r="D69" s="24"/>
      <c r="E69" s="24"/>
      <c r="F69" s="24"/>
      <c r="G69" s="23"/>
    </row>
    <row r="70" spans="2:7" x14ac:dyDescent="0.2">
      <c r="B70" s="24"/>
      <c r="C70" s="23"/>
      <c r="D70" s="24"/>
      <c r="E70" s="24"/>
      <c r="F70" s="24"/>
      <c r="G70" s="23"/>
    </row>
    <row r="71" spans="2:7" x14ac:dyDescent="0.2">
      <c r="B71" s="24"/>
      <c r="C71" s="23"/>
      <c r="D71" s="24"/>
      <c r="E71" s="24"/>
      <c r="F71" s="24"/>
      <c r="G71" s="23"/>
    </row>
    <row r="72" spans="2:7" x14ac:dyDescent="0.2">
      <c r="B72" s="24"/>
      <c r="C72" s="23"/>
      <c r="D72" s="24"/>
      <c r="E72" s="24"/>
      <c r="F72" s="24"/>
      <c r="G72" s="23"/>
    </row>
    <row r="73" spans="2:7" x14ac:dyDescent="0.2">
      <c r="B73" s="24"/>
      <c r="C73" s="23"/>
      <c r="D73" s="24"/>
      <c r="E73" s="24"/>
      <c r="F73" s="24"/>
      <c r="G73" s="23"/>
    </row>
    <row r="74" spans="2:7" x14ac:dyDescent="0.2">
      <c r="B74" s="24"/>
      <c r="C74" s="23"/>
      <c r="D74" s="24"/>
      <c r="E74" s="24"/>
      <c r="F74" s="24"/>
      <c r="G74" s="23"/>
    </row>
    <row r="75" spans="2:7" x14ac:dyDescent="0.2">
      <c r="B75" s="24"/>
      <c r="C75" s="23"/>
      <c r="D75" s="24"/>
      <c r="E75" s="24"/>
      <c r="F75" s="24"/>
      <c r="G75" s="23"/>
    </row>
    <row r="76" spans="2:7" x14ac:dyDescent="0.2">
      <c r="B76" s="24"/>
      <c r="C76" s="23"/>
      <c r="D76" s="24"/>
      <c r="E76" s="24"/>
      <c r="F76" s="24"/>
      <c r="G76" s="23"/>
    </row>
    <row r="77" spans="2:7" x14ac:dyDescent="0.2">
      <c r="B77" s="24"/>
      <c r="C77" s="23"/>
      <c r="D77" s="24"/>
      <c r="E77" s="24"/>
      <c r="F77" s="24"/>
      <c r="G77" s="23"/>
    </row>
    <row r="78" spans="2:7" x14ac:dyDescent="0.2">
      <c r="B78" s="24"/>
      <c r="C78" s="23"/>
      <c r="D78" s="24"/>
      <c r="E78" s="24"/>
      <c r="F78" s="24"/>
      <c r="G78" s="23"/>
    </row>
    <row r="79" spans="2:7" x14ac:dyDescent="0.2">
      <c r="B79" s="24"/>
      <c r="C79" s="23"/>
      <c r="D79" s="24"/>
      <c r="E79" s="24"/>
      <c r="F79" s="24"/>
      <c r="G79" s="23"/>
    </row>
    <row r="80" spans="2:7" x14ac:dyDescent="0.2">
      <c r="B80" s="24"/>
      <c r="C80" s="23"/>
      <c r="D80" s="24"/>
      <c r="E80" s="24"/>
      <c r="F80" s="24"/>
      <c r="G80" s="23"/>
    </row>
    <row r="81" spans="2:7" x14ac:dyDescent="0.2">
      <c r="B81" s="24"/>
      <c r="C81" s="23"/>
      <c r="D81" s="24"/>
      <c r="E81" s="24"/>
      <c r="F81" s="24"/>
      <c r="G81" s="23"/>
    </row>
    <row r="82" spans="2:7" x14ac:dyDescent="0.2">
      <c r="B82" s="24"/>
      <c r="C82" s="23"/>
      <c r="D82" s="24"/>
      <c r="E82" s="24"/>
      <c r="F82" s="24"/>
      <c r="G82" s="23"/>
    </row>
    <row r="83" spans="2:7" x14ac:dyDescent="0.2">
      <c r="B83" s="24"/>
      <c r="C83" s="23"/>
      <c r="D83" s="24"/>
      <c r="E83" s="24"/>
      <c r="F83" s="24"/>
      <c r="G83" s="23"/>
    </row>
    <row r="84" spans="2:7" x14ac:dyDescent="0.2">
      <c r="B84" s="24"/>
      <c r="C84" s="23"/>
      <c r="D84" s="24"/>
      <c r="E84" s="24"/>
      <c r="F84" s="24"/>
      <c r="G84" s="23"/>
    </row>
    <row r="85" spans="2:7" x14ac:dyDescent="0.2">
      <c r="B85" s="24"/>
      <c r="C85" s="23"/>
      <c r="D85" s="24"/>
      <c r="E85" s="24"/>
      <c r="F85" s="24"/>
      <c r="G85" s="23"/>
    </row>
    <row r="86" spans="2:7" x14ac:dyDescent="0.2">
      <c r="B86" s="24"/>
      <c r="C86" s="23"/>
      <c r="D86" s="24"/>
      <c r="E86" s="24"/>
      <c r="F86" s="24"/>
      <c r="G86" s="23"/>
    </row>
    <row r="87" spans="2:7" x14ac:dyDescent="0.2">
      <c r="B87" s="24"/>
      <c r="C87" s="23"/>
      <c r="D87" s="24"/>
      <c r="E87" s="24"/>
      <c r="F87" s="24"/>
      <c r="G87" s="23"/>
    </row>
    <row r="88" spans="2:7" x14ac:dyDescent="0.2">
      <c r="B88" s="24"/>
      <c r="C88" s="23"/>
      <c r="D88" s="24"/>
      <c r="E88" s="24"/>
      <c r="F88" s="24"/>
      <c r="G88" s="23"/>
    </row>
    <row r="89" spans="2:7" x14ac:dyDescent="0.2">
      <c r="B89" s="24"/>
      <c r="C89" s="23"/>
      <c r="D89" s="24"/>
      <c r="E89" s="24"/>
      <c r="F89" s="24"/>
      <c r="G89" s="23"/>
    </row>
    <row r="90" spans="2:7" x14ac:dyDescent="0.2">
      <c r="B90" s="24"/>
      <c r="C90" s="23"/>
      <c r="D90" s="24"/>
      <c r="E90" s="24"/>
      <c r="F90" s="24"/>
      <c r="G90" s="23"/>
    </row>
    <row r="91" spans="2:7" x14ac:dyDescent="0.2">
      <c r="B91" s="24"/>
      <c r="C91" s="23"/>
      <c r="D91" s="24"/>
      <c r="E91" s="24"/>
      <c r="F91" s="24"/>
      <c r="G91" s="23"/>
    </row>
    <row r="92" spans="2:7" x14ac:dyDescent="0.2">
      <c r="B92" s="24"/>
      <c r="C92" s="23"/>
      <c r="D92" s="24"/>
      <c r="E92" s="24"/>
      <c r="F92" s="24"/>
      <c r="G92" s="23"/>
    </row>
    <row r="93" spans="2:7" x14ac:dyDescent="0.2">
      <c r="B93" s="24"/>
      <c r="C93" s="23"/>
      <c r="D93" s="24"/>
      <c r="E93" s="24"/>
      <c r="F93" s="24"/>
      <c r="G93" s="23"/>
    </row>
    <row r="94" spans="2:7" x14ac:dyDescent="0.2">
      <c r="B94" s="24"/>
      <c r="C94" s="23"/>
      <c r="D94" s="24"/>
      <c r="E94" s="24"/>
      <c r="F94" s="24"/>
      <c r="G94" s="23"/>
    </row>
    <row r="95" spans="2:7" x14ac:dyDescent="0.2">
      <c r="B95" s="24"/>
      <c r="C95" s="23"/>
      <c r="D95" s="24"/>
      <c r="E95" s="24"/>
      <c r="F95" s="24"/>
      <c r="G95" s="23"/>
    </row>
    <row r="96" spans="2:7" x14ac:dyDescent="0.2">
      <c r="B96" s="24"/>
      <c r="C96" s="23"/>
      <c r="D96" s="24"/>
      <c r="E96" s="24"/>
      <c r="F96" s="24"/>
      <c r="G96" s="23"/>
    </row>
    <row r="97" spans="2:7" x14ac:dyDescent="0.2">
      <c r="B97" s="24"/>
      <c r="C97" s="23"/>
      <c r="D97" s="24"/>
      <c r="E97" s="24"/>
      <c r="F97" s="24"/>
      <c r="G97" s="23"/>
    </row>
    <row r="98" spans="2:7" x14ac:dyDescent="0.2">
      <c r="B98" s="24"/>
      <c r="C98" s="23"/>
      <c r="D98" s="24"/>
      <c r="E98" s="24"/>
      <c r="F98" s="24"/>
      <c r="G98" s="23"/>
    </row>
    <row r="99" spans="2:7" x14ac:dyDescent="0.2">
      <c r="B99" s="24"/>
      <c r="C99" s="23"/>
      <c r="D99" s="24"/>
      <c r="E99" s="24"/>
      <c r="F99" s="24"/>
      <c r="G99" s="23"/>
    </row>
    <row r="100" spans="2:7" x14ac:dyDescent="0.2">
      <c r="B100" s="24"/>
      <c r="C100" s="23"/>
      <c r="D100" s="24"/>
      <c r="E100" s="24"/>
      <c r="F100" s="24"/>
      <c r="G100" s="23"/>
    </row>
    <row r="101" spans="2:7" x14ac:dyDescent="0.2">
      <c r="B101" s="24"/>
      <c r="C101" s="23"/>
      <c r="D101" s="24"/>
      <c r="E101" s="24"/>
      <c r="F101" s="24"/>
      <c r="G101" s="23"/>
    </row>
    <row r="102" spans="2:7" x14ac:dyDescent="0.2">
      <c r="B102" s="24"/>
      <c r="C102" s="23"/>
      <c r="D102" s="24"/>
      <c r="E102" s="24"/>
      <c r="F102" s="24"/>
      <c r="G102" s="23"/>
    </row>
  </sheetData>
  <mergeCells count="5">
    <mergeCell ref="B3:C3"/>
    <mergeCell ref="F3:G3"/>
    <mergeCell ref="B12:D12"/>
    <mergeCell ref="B20:D20"/>
    <mergeCell ref="B28:D28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DCE13-2950-3342-8FDA-C4253E8D6048}">
  <sheetPr codeName="Sheet4"/>
  <dimension ref="A1:Q102"/>
  <sheetViews>
    <sheetView workbookViewId="0">
      <selection activeCell="B6" sqref="B6"/>
    </sheetView>
  </sheetViews>
  <sheetFormatPr baseColWidth="10" defaultColWidth="8.83203125" defaultRowHeight="15" x14ac:dyDescent="0.2"/>
  <cols>
    <col min="2" max="2" width="10" bestFit="1" customWidth="1"/>
    <col min="3" max="3" width="8" style="25" bestFit="1" customWidth="1"/>
    <col min="4" max="4" width="8" customWidth="1"/>
    <col min="5" max="5" width="10.1640625" bestFit="1" customWidth="1"/>
    <col min="6" max="6" width="10" bestFit="1" customWidth="1"/>
    <col min="7" max="7" width="8" style="25" bestFit="1" customWidth="1"/>
    <col min="8" max="8" width="11.83203125" bestFit="1" customWidth="1"/>
    <col min="9" max="9" width="9.83203125" bestFit="1" customWidth="1"/>
    <col min="10" max="10" width="10.5" bestFit="1" customWidth="1"/>
    <col min="11" max="11" width="9" bestFit="1" customWidth="1"/>
    <col min="15" max="15" width="17" customWidth="1"/>
    <col min="16" max="16" width="10.5" bestFit="1" customWidth="1"/>
  </cols>
  <sheetData>
    <row r="1" spans="1:17" x14ac:dyDescent="0.2">
      <c r="B1" s="1" t="s">
        <v>12</v>
      </c>
      <c r="O1" s="1" t="s">
        <v>13</v>
      </c>
    </row>
    <row r="2" spans="1:17" ht="16" thickBot="1" x14ac:dyDescent="0.25"/>
    <row r="3" spans="1:17" x14ac:dyDescent="0.2">
      <c r="B3" s="47" t="s">
        <v>47</v>
      </c>
      <c r="C3" s="48"/>
      <c r="D3" s="36"/>
      <c r="E3" s="36"/>
      <c r="F3" s="47" t="s">
        <v>46</v>
      </c>
      <c r="G3" s="48"/>
      <c r="H3" s="11" t="s">
        <v>43</v>
      </c>
      <c r="I3" s="12" t="s">
        <v>42</v>
      </c>
      <c r="J3" s="11" t="s">
        <v>40</v>
      </c>
      <c r="K3" s="13" t="s">
        <v>41</v>
      </c>
      <c r="L3" s="14"/>
      <c r="M3" s="15"/>
      <c r="O3" s="26" t="s">
        <v>11</v>
      </c>
      <c r="P3" s="27" t="s">
        <v>43</v>
      </c>
      <c r="Q3" s="28" t="s">
        <v>42</v>
      </c>
    </row>
    <row r="4" spans="1:17" ht="17" thickBot="1" x14ac:dyDescent="0.25">
      <c r="A4" t="s">
        <v>48</v>
      </c>
      <c r="B4" s="16" t="s">
        <v>9</v>
      </c>
      <c r="C4" s="17" t="s">
        <v>51</v>
      </c>
      <c r="D4" s="18" t="s">
        <v>51</v>
      </c>
      <c r="E4" s="18" t="s">
        <v>50</v>
      </c>
      <c r="F4" s="18" t="s">
        <v>9</v>
      </c>
      <c r="G4" s="17" t="s">
        <v>51</v>
      </c>
      <c r="H4" s="29">
        <v>0.80071318397395785</v>
      </c>
      <c r="I4" s="30">
        <v>-13.261772993093556</v>
      </c>
      <c r="J4" s="19">
        <v>4</v>
      </c>
      <c r="K4" s="20">
        <v>4</v>
      </c>
      <c r="L4" s="21" t="str">
        <f>B3</f>
        <v>AV2</v>
      </c>
      <c r="O4" s="34"/>
      <c r="P4" s="31" cm="1">
        <f t="array" ref="P4">BDSNR(B5:B10,C5:C10,F5:F10,G5:G10)</f>
        <v>-0.55212336767833092</v>
      </c>
      <c r="Q4" s="32" cm="1">
        <f t="array" ref="Q4">BDBR(B5:B10,C5:C10,F5:F10,G5:G10)</f>
        <v>2.5598451432123914</v>
      </c>
    </row>
    <row r="5" spans="1:17" ht="16" x14ac:dyDescent="0.2">
      <c r="A5">
        <v>110</v>
      </c>
      <c r="B5" s="35">
        <f>PSNR!B5</f>
        <v>12567.456</v>
      </c>
      <c r="C5" s="35">
        <v>95.005274999999997</v>
      </c>
      <c r="D5" s="35">
        <v>94.966099</v>
      </c>
      <c r="E5" s="35">
        <v>35.859400000000001</v>
      </c>
      <c r="F5" s="39">
        <f>B5+E5</f>
        <v>12603.315399999999</v>
      </c>
      <c r="G5" s="38">
        <f>D5</f>
        <v>94.966099</v>
      </c>
      <c r="J5" s="19">
        <v>4</v>
      </c>
      <c r="K5" s="20">
        <v>4</v>
      </c>
      <c r="L5" s="22" t="str">
        <f>F3</f>
        <v>Sparse</v>
      </c>
    </row>
    <row r="6" spans="1:17" ht="16" x14ac:dyDescent="0.2">
      <c r="A6">
        <v>135</v>
      </c>
      <c r="B6" s="35">
        <f>PSNR!B6</f>
        <v>6802.4639999999999</v>
      </c>
      <c r="C6" s="35">
        <v>88.068449999999999</v>
      </c>
      <c r="D6" s="35">
        <v>88.015471000000005</v>
      </c>
      <c r="E6" s="38">
        <v>36.181600000000003</v>
      </c>
      <c r="F6" s="39">
        <f t="shared" ref="F6:F10" si="0">B6+E6</f>
        <v>6838.6455999999998</v>
      </c>
      <c r="G6" s="38">
        <f t="shared" ref="G6:G9" si="1">D6</f>
        <v>88.015471000000005</v>
      </c>
    </row>
    <row r="7" spans="1:17" ht="16" x14ac:dyDescent="0.2">
      <c r="A7">
        <v>160</v>
      </c>
      <c r="B7" s="35">
        <f>PSNR!B7</f>
        <v>3515.712</v>
      </c>
      <c r="C7" s="35">
        <v>73.504957000000005</v>
      </c>
      <c r="D7" s="35">
        <v>73.455089000000001</v>
      </c>
      <c r="E7" s="38">
        <v>36.122999999999998</v>
      </c>
      <c r="F7" s="39">
        <f t="shared" si="0"/>
        <v>3551.835</v>
      </c>
      <c r="G7" s="38">
        <f t="shared" si="1"/>
        <v>73.455089000000001</v>
      </c>
    </row>
    <row r="8" spans="1:17" ht="16" x14ac:dyDescent="0.2">
      <c r="A8">
        <v>185</v>
      </c>
      <c r="B8" s="35">
        <f>PSNR!B8</f>
        <v>1484.4480000000001</v>
      </c>
      <c r="C8" s="35">
        <v>48.669441999999997</v>
      </c>
      <c r="D8" s="35">
        <v>48.422280999999998</v>
      </c>
      <c r="E8" s="35">
        <v>40.459000000000003</v>
      </c>
      <c r="F8" s="39">
        <f t="shared" si="0"/>
        <v>1524.9070000000002</v>
      </c>
      <c r="G8" s="38">
        <f t="shared" si="1"/>
        <v>48.422280999999998</v>
      </c>
    </row>
    <row r="9" spans="1:17" ht="16" x14ac:dyDescent="0.2">
      <c r="A9">
        <v>210</v>
      </c>
      <c r="B9" s="35">
        <f>PSNR!B9</f>
        <v>477.024</v>
      </c>
      <c r="C9" s="35">
        <v>18.611941000000002</v>
      </c>
      <c r="D9" s="35">
        <v>19.183796000000001</v>
      </c>
      <c r="E9" s="38">
        <v>46.230499999999999</v>
      </c>
      <c r="F9" s="39">
        <f t="shared" si="0"/>
        <v>523.25450000000001</v>
      </c>
      <c r="G9" s="38">
        <f t="shared" si="1"/>
        <v>19.183796000000001</v>
      </c>
    </row>
    <row r="10" spans="1:17" ht="16" x14ac:dyDescent="0.2">
      <c r="A10">
        <v>85</v>
      </c>
      <c r="B10" s="35">
        <f>PSNR!B10</f>
        <v>26672.928</v>
      </c>
      <c r="C10" s="35">
        <v>98.168814999999995</v>
      </c>
      <c r="D10" s="35">
        <v>98.159846999999999</v>
      </c>
      <c r="E10" s="38">
        <v>35.712899999999998</v>
      </c>
      <c r="F10" s="39">
        <f t="shared" si="0"/>
        <v>26708.640899999999</v>
      </c>
      <c r="G10" s="38">
        <f>D10</f>
        <v>98.159846999999999</v>
      </c>
    </row>
    <row r="11" spans="1:17" x14ac:dyDescent="0.2">
      <c r="B11" s="40"/>
      <c r="C11" s="40"/>
      <c r="D11" s="40"/>
      <c r="E11" s="40"/>
      <c r="F11" s="40"/>
      <c r="G11" s="40"/>
    </row>
    <row r="12" spans="1:17" ht="16" x14ac:dyDescent="0.2">
      <c r="B12" s="44"/>
      <c r="C12" s="35"/>
      <c r="D12" s="40"/>
      <c r="E12" s="40"/>
      <c r="F12" s="40"/>
      <c r="G12" s="40"/>
    </row>
    <row r="13" spans="1:17" ht="16" x14ac:dyDescent="0.2">
      <c r="B13" s="44"/>
      <c r="C13" s="35"/>
      <c r="D13" s="40"/>
      <c r="E13" s="40"/>
      <c r="F13" s="40"/>
      <c r="G13" s="40"/>
    </row>
    <row r="14" spans="1:17" ht="16" x14ac:dyDescent="0.2">
      <c r="B14" s="44"/>
      <c r="C14" s="35"/>
      <c r="D14" s="40"/>
      <c r="E14" s="40"/>
      <c r="F14" s="40"/>
      <c r="G14" s="40"/>
    </row>
    <row r="15" spans="1:17" ht="16" x14ac:dyDescent="0.2">
      <c r="B15" s="44"/>
      <c r="C15" s="35"/>
      <c r="D15" s="40"/>
      <c r="E15" s="40"/>
      <c r="F15" s="40"/>
      <c r="G15" s="40"/>
    </row>
    <row r="16" spans="1:17" ht="16" x14ac:dyDescent="0.2">
      <c r="B16" s="44"/>
      <c r="C16" s="35"/>
      <c r="D16" s="40"/>
      <c r="E16" s="40"/>
      <c r="F16" s="40"/>
      <c r="G16" s="40"/>
    </row>
    <row r="17" spans="2:7" ht="16" x14ac:dyDescent="0.2">
      <c r="B17" s="44"/>
      <c r="C17" s="35"/>
      <c r="D17" s="40"/>
      <c r="E17" s="40"/>
      <c r="F17" s="40"/>
      <c r="G17" s="40"/>
    </row>
    <row r="18" spans="2:7" x14ac:dyDescent="0.2">
      <c r="B18" s="40"/>
      <c r="C18" s="40"/>
      <c r="D18" s="40"/>
      <c r="E18" s="40"/>
      <c r="F18" s="40"/>
      <c r="G18" s="40"/>
    </row>
    <row r="19" spans="2:7" x14ac:dyDescent="0.2">
      <c r="B19" s="40"/>
      <c r="C19" s="40"/>
      <c r="D19" s="40"/>
      <c r="E19" s="40"/>
      <c r="F19" s="40"/>
      <c r="G19" s="40"/>
    </row>
    <row r="20" spans="2:7" x14ac:dyDescent="0.2">
      <c r="B20" s="40"/>
      <c r="C20" s="40"/>
      <c r="D20" s="40"/>
      <c r="E20" s="40"/>
      <c r="F20" s="40"/>
      <c r="G20" s="40"/>
    </row>
    <row r="21" spans="2:7" x14ac:dyDescent="0.2">
      <c r="B21" s="40"/>
      <c r="C21" s="40"/>
      <c r="D21" s="40"/>
      <c r="E21" s="40"/>
      <c r="F21" s="40"/>
      <c r="G21" s="40"/>
    </row>
    <row r="22" spans="2:7" x14ac:dyDescent="0.2">
      <c r="B22" s="40"/>
      <c r="C22" s="40"/>
      <c r="D22" s="40"/>
      <c r="E22" s="40"/>
      <c r="F22" s="40"/>
      <c r="G22" s="40"/>
    </row>
    <row r="23" spans="2:7" x14ac:dyDescent="0.2">
      <c r="B23" s="40"/>
      <c r="C23" s="40"/>
      <c r="D23" s="40"/>
      <c r="E23" s="40"/>
      <c r="F23" s="40"/>
      <c r="G23" s="40"/>
    </row>
    <row r="24" spans="2:7" x14ac:dyDescent="0.2">
      <c r="B24" s="40"/>
      <c r="C24" s="40"/>
      <c r="D24" s="40"/>
      <c r="E24" s="40"/>
      <c r="F24" s="40"/>
      <c r="G24" s="40"/>
    </row>
    <row r="25" spans="2:7" x14ac:dyDescent="0.2">
      <c r="B25" s="40"/>
      <c r="C25" s="40"/>
      <c r="D25" s="40"/>
      <c r="E25" s="40"/>
      <c r="F25" s="40"/>
      <c r="G25" s="40"/>
    </row>
    <row r="26" spans="2:7" x14ac:dyDescent="0.2">
      <c r="B26" s="40"/>
      <c r="C26" s="40"/>
      <c r="D26" s="40"/>
      <c r="E26" s="40"/>
      <c r="F26" s="40"/>
      <c r="G26" s="40"/>
    </row>
    <row r="27" spans="2:7" x14ac:dyDescent="0.2">
      <c r="B27" s="40"/>
      <c r="C27" s="40"/>
      <c r="D27" s="40"/>
      <c r="E27" s="40"/>
      <c r="F27" s="40"/>
      <c r="G27" s="40"/>
    </row>
    <row r="28" spans="2:7" x14ac:dyDescent="0.2">
      <c r="B28" s="40"/>
      <c r="C28" s="40"/>
      <c r="D28" s="40"/>
      <c r="E28" s="40"/>
      <c r="F28" s="40"/>
      <c r="G28" s="40"/>
    </row>
    <row r="29" spans="2:7" x14ac:dyDescent="0.2">
      <c r="B29" s="40"/>
      <c r="C29" s="40"/>
      <c r="D29" s="40"/>
      <c r="E29" s="40"/>
      <c r="F29" s="40"/>
      <c r="G29" s="40"/>
    </row>
    <row r="30" spans="2:7" x14ac:dyDescent="0.2">
      <c r="B30" s="40"/>
      <c r="C30" s="40"/>
      <c r="D30" s="40"/>
      <c r="E30" s="40"/>
      <c r="F30" s="40"/>
      <c r="G30" s="40"/>
    </row>
    <row r="31" spans="2:7" x14ac:dyDescent="0.2">
      <c r="B31" s="40"/>
      <c r="C31" s="40"/>
      <c r="D31" s="40"/>
      <c r="E31" s="40"/>
      <c r="F31" s="40"/>
      <c r="G31" s="40"/>
    </row>
    <row r="32" spans="2:7" x14ac:dyDescent="0.2">
      <c r="B32" s="40"/>
      <c r="C32" s="40"/>
      <c r="D32" s="40"/>
      <c r="E32" s="40"/>
      <c r="F32" s="40"/>
      <c r="G32" s="40"/>
    </row>
    <row r="33" spans="2:7" x14ac:dyDescent="0.2">
      <c r="B33" s="40"/>
      <c r="C33" s="40"/>
      <c r="D33" s="40"/>
      <c r="E33" s="40"/>
      <c r="F33" s="40"/>
      <c r="G33" s="40"/>
    </row>
    <row r="34" spans="2:7" x14ac:dyDescent="0.2">
      <c r="B34" s="40"/>
      <c r="C34" s="40"/>
      <c r="D34" s="40"/>
      <c r="E34" s="40"/>
      <c r="F34" s="40"/>
      <c r="G34" s="40"/>
    </row>
    <row r="35" spans="2:7" x14ac:dyDescent="0.2">
      <c r="B35" s="40"/>
      <c r="C35" s="40"/>
      <c r="D35" s="40"/>
      <c r="E35" s="40"/>
      <c r="F35" s="40"/>
      <c r="G35" s="40"/>
    </row>
    <row r="36" spans="2:7" x14ac:dyDescent="0.2">
      <c r="B36" s="40"/>
      <c r="C36" s="40"/>
      <c r="D36" s="40"/>
      <c r="E36" s="40"/>
      <c r="F36" s="40"/>
      <c r="G36" s="40"/>
    </row>
    <row r="37" spans="2:7" x14ac:dyDescent="0.2">
      <c r="B37" s="40"/>
      <c r="C37" s="40"/>
      <c r="D37" s="40"/>
      <c r="E37" s="40"/>
      <c r="F37" s="40"/>
      <c r="G37" s="40"/>
    </row>
    <row r="38" spans="2:7" x14ac:dyDescent="0.2">
      <c r="B38" s="40"/>
      <c r="C38" s="40"/>
      <c r="D38" s="40"/>
      <c r="E38" s="40"/>
      <c r="F38" s="40"/>
      <c r="G38" s="40"/>
    </row>
    <row r="39" spans="2:7" x14ac:dyDescent="0.2">
      <c r="B39" s="40"/>
      <c r="C39" s="40"/>
      <c r="D39" s="40"/>
      <c r="E39" s="40"/>
      <c r="F39" s="40"/>
      <c r="G39" s="40"/>
    </row>
    <row r="40" spans="2:7" x14ac:dyDescent="0.2">
      <c r="B40" s="40"/>
      <c r="C40" s="40"/>
      <c r="D40" s="40"/>
      <c r="E40" s="40"/>
      <c r="F40" s="40"/>
      <c r="G40" s="40"/>
    </row>
    <row r="41" spans="2:7" x14ac:dyDescent="0.2">
      <c r="B41" s="40"/>
      <c r="C41" s="40"/>
      <c r="D41" s="40"/>
      <c r="E41" s="40"/>
      <c r="F41" s="40"/>
      <c r="G41" s="40"/>
    </row>
    <row r="42" spans="2:7" x14ac:dyDescent="0.2">
      <c r="B42" s="40"/>
      <c r="C42" s="40"/>
      <c r="D42" s="40"/>
      <c r="E42" s="40"/>
      <c r="F42" s="40"/>
      <c r="G42" s="40"/>
    </row>
    <row r="43" spans="2:7" x14ac:dyDescent="0.2">
      <c r="B43" s="40"/>
      <c r="C43" s="40"/>
      <c r="D43" s="40"/>
      <c r="E43" s="40"/>
      <c r="F43" s="40"/>
      <c r="G43" s="40"/>
    </row>
    <row r="44" spans="2:7" x14ac:dyDescent="0.2">
      <c r="B44" s="24"/>
      <c r="C44" s="23"/>
      <c r="D44" s="24"/>
      <c r="E44" s="24"/>
      <c r="F44" s="24"/>
      <c r="G44" s="23"/>
    </row>
    <row r="45" spans="2:7" x14ac:dyDescent="0.2">
      <c r="B45" s="24"/>
      <c r="C45" s="23"/>
      <c r="D45" s="24"/>
      <c r="E45" s="24"/>
      <c r="F45" s="24"/>
      <c r="G45" s="23"/>
    </row>
    <row r="46" spans="2:7" x14ac:dyDescent="0.2">
      <c r="B46" s="24"/>
      <c r="C46" s="23"/>
      <c r="D46" s="24"/>
      <c r="E46" s="24"/>
      <c r="F46" s="24"/>
      <c r="G46" s="23"/>
    </row>
    <row r="47" spans="2:7" x14ac:dyDescent="0.2">
      <c r="B47" s="24"/>
      <c r="C47" s="23"/>
      <c r="D47" s="24"/>
      <c r="E47" s="24"/>
      <c r="F47" s="24"/>
      <c r="G47" s="23"/>
    </row>
    <row r="48" spans="2:7" x14ac:dyDescent="0.2">
      <c r="B48" s="24"/>
      <c r="C48" s="23"/>
      <c r="D48" s="24"/>
      <c r="E48" s="24"/>
      <c r="F48" s="24"/>
      <c r="G48" s="23"/>
    </row>
    <row r="49" spans="2:7" x14ac:dyDescent="0.2">
      <c r="B49" s="24"/>
      <c r="C49" s="23"/>
      <c r="D49" s="24"/>
      <c r="E49" s="24"/>
      <c r="F49" s="24"/>
      <c r="G49" s="23"/>
    </row>
    <row r="50" spans="2:7" x14ac:dyDescent="0.2">
      <c r="B50" s="24"/>
      <c r="C50" s="23"/>
      <c r="D50" s="24"/>
      <c r="E50" s="24"/>
      <c r="F50" s="24"/>
      <c r="G50" s="23"/>
    </row>
    <row r="51" spans="2:7" x14ac:dyDescent="0.2">
      <c r="B51" s="24"/>
      <c r="C51" s="23"/>
      <c r="D51" s="24"/>
      <c r="E51" s="24"/>
      <c r="F51" s="24"/>
      <c r="G51" s="23"/>
    </row>
    <row r="52" spans="2:7" x14ac:dyDescent="0.2">
      <c r="B52" s="24"/>
      <c r="C52" s="23"/>
      <c r="D52" s="24"/>
      <c r="E52" s="24"/>
      <c r="F52" s="24"/>
      <c r="G52" s="23"/>
    </row>
    <row r="53" spans="2:7" x14ac:dyDescent="0.2">
      <c r="B53" s="24"/>
      <c r="C53" s="23"/>
      <c r="D53" s="24"/>
      <c r="E53" s="24"/>
      <c r="F53" s="24"/>
      <c r="G53" s="23"/>
    </row>
    <row r="54" spans="2:7" x14ac:dyDescent="0.2">
      <c r="B54" s="24"/>
      <c r="C54" s="23"/>
      <c r="D54" s="24"/>
      <c r="E54" s="24"/>
      <c r="F54" s="24"/>
      <c r="G54" s="23"/>
    </row>
    <row r="55" spans="2:7" x14ac:dyDescent="0.2">
      <c r="B55" s="24"/>
      <c r="C55" s="23"/>
      <c r="D55" s="24"/>
      <c r="E55" s="24"/>
      <c r="F55" s="24"/>
      <c r="G55" s="23"/>
    </row>
    <row r="56" spans="2:7" x14ac:dyDescent="0.2">
      <c r="B56" s="24"/>
      <c r="C56" s="23"/>
      <c r="D56" s="24"/>
      <c r="E56" s="24"/>
      <c r="F56" s="24"/>
      <c r="G56" s="23"/>
    </row>
    <row r="57" spans="2:7" x14ac:dyDescent="0.2">
      <c r="B57" s="24"/>
      <c r="C57" s="23"/>
      <c r="D57" s="24"/>
      <c r="E57" s="24"/>
      <c r="F57" s="24"/>
      <c r="G57" s="23"/>
    </row>
    <row r="58" spans="2:7" x14ac:dyDescent="0.2">
      <c r="B58" s="24"/>
      <c r="C58" s="23"/>
      <c r="D58" s="24"/>
      <c r="E58" s="24"/>
      <c r="F58" s="24"/>
      <c r="G58" s="23"/>
    </row>
    <row r="59" spans="2:7" x14ac:dyDescent="0.2">
      <c r="B59" s="24"/>
      <c r="C59" s="23"/>
      <c r="D59" s="24"/>
      <c r="E59" s="24"/>
      <c r="F59" s="24"/>
      <c r="G59" s="23"/>
    </row>
    <row r="60" spans="2:7" x14ac:dyDescent="0.2">
      <c r="B60" s="24"/>
      <c r="C60" s="23"/>
      <c r="D60" s="24"/>
      <c r="E60" s="24"/>
      <c r="F60" s="24"/>
      <c r="G60" s="23"/>
    </row>
    <row r="61" spans="2:7" x14ac:dyDescent="0.2">
      <c r="B61" s="24"/>
      <c r="C61" s="23"/>
      <c r="D61" s="24"/>
      <c r="E61" s="24"/>
      <c r="F61" s="24"/>
      <c r="G61" s="23"/>
    </row>
    <row r="62" spans="2:7" x14ac:dyDescent="0.2">
      <c r="B62" s="24"/>
      <c r="C62" s="23"/>
      <c r="D62" s="24"/>
      <c r="E62" s="24"/>
      <c r="F62" s="24"/>
      <c r="G62" s="23"/>
    </row>
    <row r="63" spans="2:7" x14ac:dyDescent="0.2">
      <c r="B63" s="24"/>
      <c r="C63" s="23"/>
      <c r="D63" s="24"/>
      <c r="E63" s="24"/>
      <c r="F63" s="24"/>
      <c r="G63" s="23"/>
    </row>
    <row r="64" spans="2:7" x14ac:dyDescent="0.2">
      <c r="B64" s="24"/>
      <c r="C64" s="23"/>
      <c r="D64" s="24"/>
      <c r="E64" s="24"/>
      <c r="F64" s="24"/>
      <c r="G64" s="23"/>
    </row>
    <row r="65" spans="2:7" x14ac:dyDescent="0.2">
      <c r="B65" s="24"/>
      <c r="C65" s="23"/>
      <c r="D65" s="24"/>
      <c r="E65" s="24"/>
      <c r="F65" s="24"/>
      <c r="G65" s="23"/>
    </row>
    <row r="66" spans="2:7" x14ac:dyDescent="0.2">
      <c r="B66" s="24"/>
      <c r="C66" s="23"/>
      <c r="D66" s="24"/>
      <c r="E66" s="24"/>
      <c r="F66" s="24"/>
      <c r="G66" s="23"/>
    </row>
    <row r="67" spans="2:7" x14ac:dyDescent="0.2">
      <c r="B67" s="24"/>
      <c r="C67" s="23"/>
      <c r="D67" s="24"/>
      <c r="E67" s="24"/>
      <c r="F67" s="24"/>
      <c r="G67" s="23"/>
    </row>
    <row r="68" spans="2:7" x14ac:dyDescent="0.2">
      <c r="B68" s="24"/>
      <c r="C68" s="23"/>
      <c r="D68" s="24"/>
      <c r="E68" s="24"/>
      <c r="F68" s="24"/>
      <c r="G68" s="23"/>
    </row>
    <row r="69" spans="2:7" x14ac:dyDescent="0.2">
      <c r="B69" s="24"/>
      <c r="C69" s="23"/>
      <c r="D69" s="24"/>
      <c r="E69" s="24"/>
      <c r="F69" s="24"/>
      <c r="G69" s="23"/>
    </row>
    <row r="70" spans="2:7" x14ac:dyDescent="0.2">
      <c r="B70" s="24"/>
      <c r="C70" s="23"/>
      <c r="D70" s="24"/>
      <c r="E70" s="24"/>
      <c r="F70" s="24"/>
      <c r="G70" s="23"/>
    </row>
    <row r="71" spans="2:7" x14ac:dyDescent="0.2">
      <c r="B71" s="24"/>
      <c r="C71" s="23"/>
      <c r="D71" s="24"/>
      <c r="E71" s="24"/>
      <c r="F71" s="24"/>
      <c r="G71" s="23"/>
    </row>
    <row r="72" spans="2:7" x14ac:dyDescent="0.2">
      <c r="B72" s="24"/>
      <c r="C72" s="23"/>
      <c r="D72" s="24"/>
      <c r="E72" s="24"/>
      <c r="F72" s="24"/>
      <c r="G72" s="23"/>
    </row>
    <row r="73" spans="2:7" x14ac:dyDescent="0.2">
      <c r="B73" s="24"/>
      <c r="C73" s="23"/>
      <c r="D73" s="24"/>
      <c r="E73" s="24"/>
      <c r="F73" s="24"/>
      <c r="G73" s="23"/>
    </row>
    <row r="74" spans="2:7" x14ac:dyDescent="0.2">
      <c r="B74" s="24"/>
      <c r="C74" s="23"/>
      <c r="D74" s="24"/>
      <c r="E74" s="24"/>
      <c r="F74" s="24"/>
      <c r="G74" s="23"/>
    </row>
    <row r="75" spans="2:7" x14ac:dyDescent="0.2">
      <c r="B75" s="24"/>
      <c r="C75" s="23"/>
      <c r="D75" s="24"/>
      <c r="E75" s="24"/>
      <c r="F75" s="24"/>
      <c r="G75" s="23"/>
    </row>
    <row r="76" spans="2:7" x14ac:dyDescent="0.2">
      <c r="B76" s="24"/>
      <c r="C76" s="23"/>
      <c r="D76" s="24"/>
      <c r="E76" s="24"/>
      <c r="F76" s="24"/>
      <c r="G76" s="23"/>
    </row>
    <row r="77" spans="2:7" x14ac:dyDescent="0.2">
      <c r="B77" s="24"/>
      <c r="C77" s="23"/>
      <c r="D77" s="24"/>
      <c r="E77" s="24"/>
      <c r="F77" s="24"/>
      <c r="G77" s="23"/>
    </row>
    <row r="78" spans="2:7" x14ac:dyDescent="0.2">
      <c r="B78" s="24"/>
      <c r="C78" s="23"/>
      <c r="D78" s="24"/>
      <c r="E78" s="24"/>
      <c r="F78" s="24"/>
      <c r="G78" s="23"/>
    </row>
    <row r="79" spans="2:7" x14ac:dyDescent="0.2">
      <c r="B79" s="24"/>
      <c r="C79" s="23"/>
      <c r="D79" s="24"/>
      <c r="E79" s="24"/>
      <c r="F79" s="24"/>
      <c r="G79" s="23"/>
    </row>
    <row r="80" spans="2:7" x14ac:dyDescent="0.2">
      <c r="B80" s="24"/>
      <c r="C80" s="23"/>
      <c r="D80" s="24"/>
      <c r="E80" s="24"/>
      <c r="F80" s="24"/>
      <c r="G80" s="23"/>
    </row>
    <row r="81" spans="2:7" x14ac:dyDescent="0.2">
      <c r="B81" s="24"/>
      <c r="C81" s="23"/>
      <c r="D81" s="24"/>
      <c r="E81" s="24"/>
      <c r="F81" s="24"/>
      <c r="G81" s="23"/>
    </row>
    <row r="82" spans="2:7" x14ac:dyDescent="0.2">
      <c r="B82" s="24"/>
      <c r="C82" s="23"/>
      <c r="D82" s="24"/>
      <c r="E82" s="24"/>
      <c r="F82" s="24"/>
      <c r="G82" s="23"/>
    </row>
    <row r="83" spans="2:7" x14ac:dyDescent="0.2">
      <c r="B83" s="24"/>
      <c r="C83" s="23"/>
      <c r="D83" s="24"/>
      <c r="E83" s="24"/>
      <c r="F83" s="24"/>
      <c r="G83" s="23"/>
    </row>
    <row r="84" spans="2:7" x14ac:dyDescent="0.2">
      <c r="B84" s="24"/>
      <c r="C84" s="23"/>
      <c r="D84" s="24"/>
      <c r="E84" s="24"/>
      <c r="F84" s="24"/>
      <c r="G84" s="23"/>
    </row>
    <row r="85" spans="2:7" x14ac:dyDescent="0.2">
      <c r="B85" s="24"/>
      <c r="C85" s="23"/>
      <c r="D85" s="24"/>
      <c r="E85" s="24"/>
      <c r="F85" s="24"/>
      <c r="G85" s="23"/>
    </row>
    <row r="86" spans="2:7" x14ac:dyDescent="0.2">
      <c r="B86" s="24"/>
      <c r="C86" s="23"/>
      <c r="D86" s="24"/>
      <c r="E86" s="24"/>
      <c r="F86" s="24"/>
      <c r="G86" s="23"/>
    </row>
    <row r="87" spans="2:7" x14ac:dyDescent="0.2">
      <c r="B87" s="24"/>
      <c r="C87" s="23"/>
      <c r="D87" s="24"/>
      <c r="E87" s="24"/>
      <c r="F87" s="24"/>
      <c r="G87" s="23"/>
    </row>
    <row r="88" spans="2:7" x14ac:dyDescent="0.2">
      <c r="B88" s="24"/>
      <c r="C88" s="23"/>
      <c r="D88" s="24"/>
      <c r="E88" s="24"/>
      <c r="F88" s="24"/>
      <c r="G88" s="23"/>
    </row>
    <row r="89" spans="2:7" x14ac:dyDescent="0.2">
      <c r="B89" s="24"/>
      <c r="C89" s="23"/>
      <c r="D89" s="24"/>
      <c r="E89" s="24"/>
      <c r="F89" s="24"/>
      <c r="G89" s="23"/>
    </row>
    <row r="90" spans="2:7" x14ac:dyDescent="0.2">
      <c r="B90" s="24"/>
      <c r="C90" s="23"/>
      <c r="D90" s="24"/>
      <c r="E90" s="24"/>
      <c r="F90" s="24"/>
      <c r="G90" s="23"/>
    </row>
    <row r="91" spans="2:7" x14ac:dyDescent="0.2">
      <c r="B91" s="24"/>
      <c r="C91" s="23"/>
      <c r="D91" s="24"/>
      <c r="E91" s="24"/>
      <c r="F91" s="24"/>
      <c r="G91" s="23"/>
    </row>
    <row r="92" spans="2:7" x14ac:dyDescent="0.2">
      <c r="B92" s="24"/>
      <c r="C92" s="23"/>
      <c r="D92" s="24"/>
      <c r="E92" s="24"/>
      <c r="F92" s="24"/>
      <c r="G92" s="23"/>
    </row>
    <row r="93" spans="2:7" x14ac:dyDescent="0.2">
      <c r="B93" s="24"/>
      <c r="C93" s="23"/>
      <c r="D93" s="24"/>
      <c r="E93" s="24"/>
      <c r="F93" s="24"/>
      <c r="G93" s="23"/>
    </row>
    <row r="94" spans="2:7" x14ac:dyDescent="0.2">
      <c r="B94" s="24"/>
      <c r="C94" s="23"/>
      <c r="D94" s="24"/>
      <c r="E94" s="24"/>
      <c r="F94" s="24"/>
      <c r="G94" s="23"/>
    </row>
    <row r="95" spans="2:7" x14ac:dyDescent="0.2">
      <c r="B95" s="24"/>
      <c r="C95" s="23"/>
      <c r="D95" s="24"/>
      <c r="E95" s="24"/>
      <c r="F95" s="24"/>
      <c r="G95" s="23"/>
    </row>
    <row r="96" spans="2:7" x14ac:dyDescent="0.2">
      <c r="B96" s="24"/>
      <c r="C96" s="23"/>
      <c r="D96" s="24"/>
      <c r="E96" s="24"/>
      <c r="F96" s="24"/>
      <c r="G96" s="23"/>
    </row>
    <row r="97" spans="2:7" x14ac:dyDescent="0.2">
      <c r="B97" s="24"/>
      <c r="C97" s="23"/>
      <c r="D97" s="24"/>
      <c r="E97" s="24"/>
      <c r="F97" s="24"/>
      <c r="G97" s="23"/>
    </row>
    <row r="98" spans="2:7" x14ac:dyDescent="0.2">
      <c r="B98" s="24"/>
      <c r="C98" s="23"/>
      <c r="D98" s="24"/>
      <c r="E98" s="24"/>
      <c r="F98" s="24"/>
      <c r="G98" s="23"/>
    </row>
    <row r="99" spans="2:7" x14ac:dyDescent="0.2">
      <c r="B99" s="24"/>
      <c r="C99" s="23"/>
      <c r="D99" s="24"/>
      <c r="E99" s="24"/>
      <c r="F99" s="24"/>
      <c r="G99" s="23"/>
    </row>
    <row r="100" spans="2:7" x14ac:dyDescent="0.2">
      <c r="B100" s="24"/>
      <c r="C100" s="23"/>
      <c r="D100" s="24"/>
      <c r="E100" s="24"/>
      <c r="F100" s="24"/>
      <c r="G100" s="23"/>
    </row>
    <row r="101" spans="2:7" x14ac:dyDescent="0.2">
      <c r="B101" s="24"/>
      <c r="C101" s="23"/>
      <c r="D101" s="24"/>
      <c r="E101" s="24"/>
      <c r="F101" s="24"/>
      <c r="G101" s="23"/>
    </row>
    <row r="102" spans="2:7" x14ac:dyDescent="0.2">
      <c r="B102" s="24"/>
      <c r="C102" s="23"/>
      <c r="D102" s="24"/>
      <c r="E102" s="24"/>
      <c r="F102" s="24"/>
      <c r="G102" s="23"/>
    </row>
  </sheetData>
  <mergeCells count="2">
    <mergeCell ref="B3:C3"/>
    <mergeCell ref="F3:G3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0A8B-84B2-484E-B0CF-820C77A7DA47}">
  <sheetPr codeName="Sheet5"/>
  <dimension ref="A1:Q102"/>
  <sheetViews>
    <sheetView workbookViewId="0">
      <selection activeCell="D8" sqref="D8"/>
    </sheetView>
  </sheetViews>
  <sheetFormatPr baseColWidth="10" defaultColWidth="8.83203125" defaultRowHeight="15" x14ac:dyDescent="0.2"/>
  <cols>
    <col min="2" max="2" width="10" bestFit="1" customWidth="1"/>
    <col min="3" max="3" width="8" style="25" bestFit="1" customWidth="1"/>
    <col min="4" max="4" width="8" customWidth="1"/>
    <col min="5" max="5" width="10.1640625" bestFit="1" customWidth="1"/>
    <col min="6" max="6" width="10" bestFit="1" customWidth="1"/>
    <col min="7" max="7" width="8" style="25" bestFit="1" customWidth="1"/>
    <col min="8" max="8" width="11.83203125" bestFit="1" customWidth="1"/>
    <col min="9" max="9" width="9.83203125" bestFit="1" customWidth="1"/>
    <col min="10" max="10" width="10.5" bestFit="1" customWidth="1"/>
    <col min="11" max="11" width="9" bestFit="1" customWidth="1"/>
    <col min="15" max="15" width="17" customWidth="1"/>
    <col min="16" max="16" width="10.5" bestFit="1" customWidth="1"/>
  </cols>
  <sheetData>
    <row r="1" spans="1:17" x14ac:dyDescent="0.2">
      <c r="B1" s="1" t="s">
        <v>12</v>
      </c>
      <c r="O1" s="1" t="s">
        <v>13</v>
      </c>
    </row>
    <row r="2" spans="1:17" ht="16" thickBot="1" x14ac:dyDescent="0.25"/>
    <row r="3" spans="1:17" x14ac:dyDescent="0.2">
      <c r="B3" s="47" t="s">
        <v>47</v>
      </c>
      <c r="C3" s="48"/>
      <c r="D3" s="36"/>
      <c r="E3" s="36"/>
      <c r="F3" s="47" t="s">
        <v>46</v>
      </c>
      <c r="G3" s="48"/>
      <c r="H3" s="11" t="s">
        <v>43</v>
      </c>
      <c r="I3" s="12" t="s">
        <v>42</v>
      </c>
      <c r="J3" s="11" t="s">
        <v>40</v>
      </c>
      <c r="K3" s="13" t="s">
        <v>41</v>
      </c>
      <c r="L3" s="14"/>
      <c r="M3" s="15"/>
      <c r="O3" s="26" t="s">
        <v>11</v>
      </c>
      <c r="P3" s="27" t="s">
        <v>43</v>
      </c>
      <c r="Q3" s="28" t="s">
        <v>42</v>
      </c>
    </row>
    <row r="4" spans="1:17" ht="17" thickBot="1" x14ac:dyDescent="0.25">
      <c r="A4" t="s">
        <v>48</v>
      </c>
      <c r="B4" s="16" t="s">
        <v>9</v>
      </c>
      <c r="C4" s="17" t="s">
        <v>52</v>
      </c>
      <c r="D4" s="18" t="s">
        <v>52</v>
      </c>
      <c r="E4" s="18" t="s">
        <v>50</v>
      </c>
      <c r="F4" s="18" t="s">
        <v>9</v>
      </c>
      <c r="G4" s="17" t="s">
        <v>52</v>
      </c>
      <c r="H4" s="29">
        <v>0.80071318397395785</v>
      </c>
      <c r="I4" s="30">
        <v>-13.261772993093556</v>
      </c>
      <c r="J4" s="19">
        <v>4</v>
      </c>
      <c r="K4" s="20">
        <v>4</v>
      </c>
      <c r="L4" s="21" t="str">
        <f>B3</f>
        <v>AV2</v>
      </c>
      <c r="O4" s="34"/>
      <c r="P4" s="31" cm="1">
        <f t="array" ref="P4">BDSNR(B5:B10,C5:C10,F5:F10,G5:G10)</f>
        <v>3.3412028267911655E-2</v>
      </c>
      <c r="Q4" s="32" cm="1">
        <f t="array" ref="Q4">BDBR(B5:B10,C5:C10,F5:F10,G5:G10)</f>
        <v>-20.260380543296684</v>
      </c>
    </row>
    <row r="5" spans="1:17" ht="16" x14ac:dyDescent="0.2">
      <c r="A5">
        <v>110</v>
      </c>
      <c r="B5" s="35">
        <f>PSNR!B5</f>
        <v>12567.456</v>
      </c>
      <c r="C5" s="35">
        <v>0.50280000000000002</v>
      </c>
      <c r="D5" s="35">
        <v>0.51160000000000005</v>
      </c>
      <c r="E5" s="35">
        <v>35.859400000000001</v>
      </c>
      <c r="F5" s="39">
        <f>B5+E5</f>
        <v>12603.315399999999</v>
      </c>
      <c r="G5" s="38">
        <f>D5</f>
        <v>0.51160000000000005</v>
      </c>
      <c r="J5" s="19">
        <v>4</v>
      </c>
      <c r="K5" s="20">
        <v>4</v>
      </c>
      <c r="L5" s="22" t="str">
        <f>F3</f>
        <v>Sparse</v>
      </c>
    </row>
    <row r="6" spans="1:17" ht="16" x14ac:dyDescent="0.2">
      <c r="A6">
        <v>135</v>
      </c>
      <c r="B6" s="35">
        <f>PSNR!B6</f>
        <v>6802.4639999999999</v>
      </c>
      <c r="C6" s="35">
        <v>0.46400000000000002</v>
      </c>
      <c r="D6" s="35">
        <v>0.46400000000000002</v>
      </c>
      <c r="E6" s="38">
        <v>36.181600000000003</v>
      </c>
      <c r="F6" s="39">
        <f t="shared" ref="F6:F10" si="0">B6+E6</f>
        <v>6838.6455999999998</v>
      </c>
      <c r="G6" s="38">
        <f t="shared" ref="G6:G10" si="1">D6</f>
        <v>0.46400000000000002</v>
      </c>
    </row>
    <row r="7" spans="1:17" ht="16" x14ac:dyDescent="0.2">
      <c r="A7">
        <v>160</v>
      </c>
      <c r="B7" s="35">
        <f>PSNR!B7</f>
        <v>3515.712</v>
      </c>
      <c r="C7" s="35">
        <v>0.38100000000000001</v>
      </c>
      <c r="D7" s="35">
        <v>0.4037</v>
      </c>
      <c r="E7" s="38">
        <v>36.122999999999998</v>
      </c>
      <c r="F7" s="39">
        <f t="shared" si="0"/>
        <v>3551.835</v>
      </c>
      <c r="G7" s="38">
        <f t="shared" si="1"/>
        <v>0.4037</v>
      </c>
    </row>
    <row r="8" spans="1:17" ht="16" x14ac:dyDescent="0.2">
      <c r="A8">
        <v>185</v>
      </c>
      <c r="B8" s="35">
        <f>PSNR!B8</f>
        <v>1484.4480000000001</v>
      </c>
      <c r="C8" s="35">
        <v>0.28760000000000002</v>
      </c>
      <c r="D8" s="35">
        <v>0.34859099999999998</v>
      </c>
      <c r="E8" s="35">
        <v>40.459000000000003</v>
      </c>
      <c r="F8" s="39">
        <f t="shared" si="0"/>
        <v>1524.9070000000002</v>
      </c>
      <c r="G8" s="38">
        <f t="shared" si="1"/>
        <v>0.34859099999999998</v>
      </c>
    </row>
    <row r="9" spans="1:17" ht="16" x14ac:dyDescent="0.2">
      <c r="A9">
        <v>210</v>
      </c>
      <c r="B9" s="35">
        <f>PSNR!B9</f>
        <v>477.024</v>
      </c>
      <c r="C9" s="35">
        <v>0.1832</v>
      </c>
      <c r="D9" s="35">
        <v>0.30199999999999999</v>
      </c>
      <c r="E9" s="38">
        <v>46.230499999999999</v>
      </c>
      <c r="F9" s="39">
        <f t="shared" si="0"/>
        <v>523.25450000000001</v>
      </c>
      <c r="G9" s="38">
        <f t="shared" si="1"/>
        <v>0.30199999999999999</v>
      </c>
    </row>
    <row r="10" spans="1:17" ht="16" x14ac:dyDescent="0.2">
      <c r="A10">
        <v>85</v>
      </c>
      <c r="B10" s="35">
        <f>PSNR!B10</f>
        <v>26672.928</v>
      </c>
      <c r="C10" s="35">
        <v>0.61099999999999999</v>
      </c>
      <c r="D10" s="35">
        <v>0.61370000000000002</v>
      </c>
      <c r="E10" s="38">
        <v>35.712899999999998</v>
      </c>
      <c r="F10" s="39">
        <f t="shared" si="0"/>
        <v>26708.640899999999</v>
      </c>
      <c r="G10" s="38">
        <f t="shared" si="1"/>
        <v>0.61370000000000002</v>
      </c>
    </row>
    <row r="11" spans="1:17" x14ac:dyDescent="0.2">
      <c r="B11" s="40"/>
      <c r="C11" s="40"/>
      <c r="D11" s="40"/>
      <c r="E11" s="40"/>
      <c r="F11" s="40"/>
      <c r="G11" s="40"/>
    </row>
    <row r="12" spans="1:17" ht="16" x14ac:dyDescent="0.2">
      <c r="B12" s="44"/>
      <c r="C12" s="35"/>
      <c r="D12" s="40"/>
      <c r="E12" s="40"/>
      <c r="F12" s="40"/>
      <c r="G12" s="40"/>
    </row>
    <row r="13" spans="1:17" ht="16" x14ac:dyDescent="0.2">
      <c r="B13" s="44"/>
      <c r="C13" s="35"/>
      <c r="D13" s="40"/>
      <c r="E13" s="40"/>
      <c r="F13" s="40"/>
      <c r="G13" s="40"/>
    </row>
    <row r="14" spans="1:17" ht="16" x14ac:dyDescent="0.2">
      <c r="B14" s="44"/>
      <c r="C14" s="35"/>
      <c r="D14" s="40"/>
      <c r="E14" s="40"/>
      <c r="F14" s="40"/>
      <c r="G14" s="40"/>
    </row>
    <row r="15" spans="1:17" ht="16" x14ac:dyDescent="0.2">
      <c r="B15" s="44"/>
      <c r="C15" s="35"/>
      <c r="D15" s="40"/>
      <c r="E15" s="40"/>
      <c r="F15" s="40"/>
      <c r="G15" s="40"/>
    </row>
    <row r="16" spans="1:17" ht="16" x14ac:dyDescent="0.2">
      <c r="B16" s="44"/>
      <c r="C16" s="35"/>
      <c r="D16" s="40"/>
      <c r="E16" s="40"/>
      <c r="F16" s="40"/>
      <c r="G16" s="40"/>
    </row>
    <row r="17" spans="2:7" ht="16" x14ac:dyDescent="0.2">
      <c r="B17" s="44"/>
      <c r="C17" s="35"/>
      <c r="D17" s="40"/>
      <c r="E17" s="40"/>
      <c r="F17" s="40"/>
      <c r="G17" s="40"/>
    </row>
    <row r="18" spans="2:7" x14ac:dyDescent="0.2">
      <c r="B18" s="40"/>
      <c r="C18" s="40"/>
      <c r="D18" s="40"/>
      <c r="E18" s="40"/>
      <c r="F18" s="40"/>
      <c r="G18" s="40"/>
    </row>
    <row r="19" spans="2:7" x14ac:dyDescent="0.2">
      <c r="B19" s="40"/>
      <c r="C19" s="40"/>
      <c r="D19" s="40"/>
      <c r="E19" s="40"/>
      <c r="F19" s="40"/>
      <c r="G19" s="40"/>
    </row>
    <row r="20" spans="2:7" x14ac:dyDescent="0.2">
      <c r="B20" s="40"/>
      <c r="C20" s="40"/>
      <c r="D20" s="40"/>
      <c r="E20" s="40"/>
      <c r="F20" s="40"/>
      <c r="G20" s="40"/>
    </row>
    <row r="21" spans="2:7" x14ac:dyDescent="0.2">
      <c r="B21" s="40"/>
      <c r="C21" s="40"/>
      <c r="D21" s="40"/>
      <c r="E21" s="40"/>
      <c r="F21" s="40"/>
      <c r="G21" s="40"/>
    </row>
    <row r="22" spans="2:7" x14ac:dyDescent="0.2">
      <c r="B22" s="40"/>
      <c r="C22" s="40"/>
      <c r="D22" s="40"/>
      <c r="E22" s="40"/>
      <c r="F22" s="40"/>
      <c r="G22" s="40"/>
    </row>
    <row r="23" spans="2:7" x14ac:dyDescent="0.2">
      <c r="B23" s="40"/>
      <c r="C23" s="40"/>
      <c r="D23" s="40"/>
      <c r="E23" s="40"/>
      <c r="F23" s="40"/>
      <c r="G23" s="40"/>
    </row>
    <row r="24" spans="2:7" x14ac:dyDescent="0.2">
      <c r="B24" s="40"/>
      <c r="C24" s="40"/>
      <c r="D24" s="40"/>
      <c r="E24" s="40"/>
      <c r="F24" s="40"/>
      <c r="G24" s="40"/>
    </row>
    <row r="25" spans="2:7" x14ac:dyDescent="0.2">
      <c r="B25" s="40"/>
      <c r="C25" s="40"/>
      <c r="D25" s="40"/>
      <c r="E25" s="40"/>
      <c r="F25" s="40"/>
      <c r="G25" s="40"/>
    </row>
    <row r="26" spans="2:7" x14ac:dyDescent="0.2">
      <c r="B26" s="40"/>
      <c r="C26" s="40"/>
      <c r="D26" s="40"/>
      <c r="E26" s="40"/>
      <c r="F26" s="40"/>
      <c r="G26" s="40"/>
    </row>
    <row r="27" spans="2:7" x14ac:dyDescent="0.2">
      <c r="B27" s="40"/>
      <c r="C27" s="40"/>
      <c r="D27" s="40"/>
      <c r="E27" s="40"/>
      <c r="F27" s="40"/>
      <c r="G27" s="40"/>
    </row>
    <row r="28" spans="2:7" x14ac:dyDescent="0.2">
      <c r="B28" s="40"/>
      <c r="C28" s="40"/>
      <c r="D28" s="40"/>
      <c r="E28" s="40"/>
      <c r="F28" s="40"/>
      <c r="G28" s="40"/>
    </row>
    <row r="29" spans="2:7" x14ac:dyDescent="0.2">
      <c r="B29" s="40"/>
      <c r="C29" s="40"/>
      <c r="D29" s="40"/>
      <c r="E29" s="40"/>
      <c r="F29" s="40"/>
      <c r="G29" s="40"/>
    </row>
    <row r="30" spans="2:7" x14ac:dyDescent="0.2">
      <c r="B30" s="40"/>
      <c r="C30" s="40"/>
      <c r="D30" s="40"/>
      <c r="E30" s="40"/>
      <c r="F30" s="40"/>
      <c r="G30" s="40"/>
    </row>
    <row r="31" spans="2:7" x14ac:dyDescent="0.2">
      <c r="B31" s="40"/>
      <c r="C31" s="40"/>
      <c r="D31" s="40"/>
      <c r="E31" s="40"/>
      <c r="F31" s="40"/>
      <c r="G31" s="40"/>
    </row>
    <row r="32" spans="2:7" x14ac:dyDescent="0.2">
      <c r="B32" s="40"/>
      <c r="C32" s="40"/>
      <c r="D32" s="40"/>
      <c r="E32" s="40"/>
      <c r="F32" s="40"/>
      <c r="G32" s="40"/>
    </row>
    <row r="33" spans="2:7" x14ac:dyDescent="0.2">
      <c r="B33" s="40"/>
      <c r="C33" s="40"/>
      <c r="D33" s="40"/>
      <c r="E33" s="40"/>
      <c r="F33" s="40"/>
      <c r="G33" s="40"/>
    </row>
    <row r="34" spans="2:7" x14ac:dyDescent="0.2">
      <c r="B34" s="40"/>
      <c r="C34" s="40"/>
      <c r="D34" s="40"/>
      <c r="E34" s="40"/>
      <c r="F34" s="40"/>
      <c r="G34" s="40"/>
    </row>
    <row r="35" spans="2:7" x14ac:dyDescent="0.2">
      <c r="B35" s="40"/>
      <c r="C35" s="40"/>
      <c r="D35" s="40"/>
      <c r="E35" s="40"/>
      <c r="F35" s="40"/>
      <c r="G35" s="40"/>
    </row>
    <row r="36" spans="2:7" x14ac:dyDescent="0.2">
      <c r="B36" s="40"/>
      <c r="C36" s="40"/>
      <c r="D36" s="40"/>
      <c r="E36" s="40"/>
      <c r="F36" s="40"/>
      <c r="G36" s="40"/>
    </row>
    <row r="37" spans="2:7" x14ac:dyDescent="0.2">
      <c r="B37" s="40"/>
      <c r="C37" s="40"/>
      <c r="D37" s="40"/>
      <c r="E37" s="40"/>
      <c r="F37" s="40"/>
      <c r="G37" s="40"/>
    </row>
    <row r="38" spans="2:7" x14ac:dyDescent="0.2">
      <c r="B38" s="40"/>
      <c r="C38" s="40"/>
      <c r="D38" s="40"/>
      <c r="E38" s="40"/>
      <c r="F38" s="40"/>
      <c r="G38" s="40"/>
    </row>
    <row r="39" spans="2:7" x14ac:dyDescent="0.2">
      <c r="B39" s="40"/>
      <c r="C39" s="40"/>
      <c r="D39" s="40"/>
      <c r="E39" s="40"/>
      <c r="F39" s="40"/>
      <c r="G39" s="40"/>
    </row>
    <row r="40" spans="2:7" x14ac:dyDescent="0.2">
      <c r="B40" s="40"/>
      <c r="C40" s="40"/>
      <c r="D40" s="40"/>
      <c r="E40" s="40"/>
      <c r="F40" s="40"/>
      <c r="G40" s="40"/>
    </row>
    <row r="41" spans="2:7" x14ac:dyDescent="0.2">
      <c r="B41" s="40"/>
      <c r="C41" s="40"/>
      <c r="D41" s="40"/>
      <c r="E41" s="40"/>
      <c r="F41" s="40"/>
      <c r="G41" s="40"/>
    </row>
    <row r="42" spans="2:7" x14ac:dyDescent="0.2">
      <c r="B42" s="40"/>
      <c r="C42" s="40"/>
      <c r="D42" s="40"/>
      <c r="E42" s="40"/>
      <c r="F42" s="40"/>
      <c r="G42" s="40"/>
    </row>
    <row r="43" spans="2:7" x14ac:dyDescent="0.2">
      <c r="B43" s="40"/>
      <c r="C43" s="40"/>
      <c r="D43" s="40"/>
      <c r="E43" s="40"/>
      <c r="F43" s="40"/>
      <c r="G43" s="40"/>
    </row>
    <row r="44" spans="2:7" x14ac:dyDescent="0.2">
      <c r="B44" s="24"/>
      <c r="C44" s="23"/>
      <c r="D44" s="24"/>
      <c r="E44" s="24"/>
      <c r="F44" s="24"/>
      <c r="G44" s="23"/>
    </row>
    <row r="45" spans="2:7" x14ac:dyDescent="0.2">
      <c r="B45" s="24"/>
      <c r="C45" s="23"/>
      <c r="D45" s="24"/>
      <c r="E45" s="24"/>
      <c r="F45" s="24"/>
      <c r="G45" s="23"/>
    </row>
    <row r="46" spans="2:7" x14ac:dyDescent="0.2">
      <c r="B46" s="24"/>
      <c r="C46" s="23"/>
      <c r="D46" s="24"/>
      <c r="E46" s="24"/>
      <c r="F46" s="24"/>
      <c r="G46" s="23"/>
    </row>
    <row r="47" spans="2:7" x14ac:dyDescent="0.2">
      <c r="B47" s="24"/>
      <c r="C47" s="23"/>
      <c r="D47" s="24"/>
      <c r="E47" s="24"/>
      <c r="F47" s="24"/>
      <c r="G47" s="23"/>
    </row>
    <row r="48" spans="2:7" x14ac:dyDescent="0.2">
      <c r="B48" s="24"/>
      <c r="C48" s="23"/>
      <c r="D48" s="24"/>
      <c r="E48" s="24"/>
      <c r="F48" s="24"/>
      <c r="G48" s="23"/>
    </row>
    <row r="49" spans="2:7" x14ac:dyDescent="0.2">
      <c r="B49" s="24"/>
      <c r="C49" s="23"/>
      <c r="D49" s="24"/>
      <c r="E49" s="24"/>
      <c r="F49" s="24"/>
      <c r="G49" s="23"/>
    </row>
    <row r="50" spans="2:7" x14ac:dyDescent="0.2">
      <c r="B50" s="24"/>
      <c r="C50" s="23"/>
      <c r="D50" s="24"/>
      <c r="E50" s="24"/>
      <c r="F50" s="24"/>
      <c r="G50" s="23"/>
    </row>
    <row r="51" spans="2:7" x14ac:dyDescent="0.2">
      <c r="B51" s="24"/>
      <c r="C51" s="23"/>
      <c r="D51" s="24"/>
      <c r="E51" s="24"/>
      <c r="F51" s="24"/>
      <c r="G51" s="23"/>
    </row>
    <row r="52" spans="2:7" x14ac:dyDescent="0.2">
      <c r="B52" s="24"/>
      <c r="C52" s="23"/>
      <c r="D52" s="24"/>
      <c r="E52" s="24"/>
      <c r="F52" s="24"/>
      <c r="G52" s="23"/>
    </row>
    <row r="53" spans="2:7" x14ac:dyDescent="0.2">
      <c r="B53" s="24"/>
      <c r="C53" s="23"/>
      <c r="D53" s="24"/>
      <c r="E53" s="24"/>
      <c r="F53" s="24"/>
      <c r="G53" s="23"/>
    </row>
    <row r="54" spans="2:7" x14ac:dyDescent="0.2">
      <c r="B54" s="24"/>
      <c r="C54" s="23"/>
      <c r="D54" s="24"/>
      <c r="E54" s="24"/>
      <c r="F54" s="24"/>
      <c r="G54" s="23"/>
    </row>
    <row r="55" spans="2:7" x14ac:dyDescent="0.2">
      <c r="B55" s="24"/>
      <c r="C55" s="23"/>
      <c r="D55" s="24"/>
      <c r="E55" s="24"/>
      <c r="F55" s="24"/>
      <c r="G55" s="23"/>
    </row>
    <row r="56" spans="2:7" x14ac:dyDescent="0.2">
      <c r="B56" s="24"/>
      <c r="C56" s="23"/>
      <c r="D56" s="24"/>
      <c r="E56" s="24"/>
      <c r="F56" s="24"/>
      <c r="G56" s="23"/>
    </row>
    <row r="57" spans="2:7" x14ac:dyDescent="0.2">
      <c r="B57" s="24"/>
      <c r="C57" s="23"/>
      <c r="D57" s="24"/>
      <c r="E57" s="24"/>
      <c r="F57" s="24"/>
      <c r="G57" s="23"/>
    </row>
    <row r="58" spans="2:7" x14ac:dyDescent="0.2">
      <c r="B58" s="24"/>
      <c r="C58" s="23"/>
      <c r="D58" s="24"/>
      <c r="E58" s="24"/>
      <c r="F58" s="24"/>
      <c r="G58" s="23"/>
    </row>
    <row r="59" spans="2:7" x14ac:dyDescent="0.2">
      <c r="B59" s="24"/>
      <c r="C59" s="23"/>
      <c r="D59" s="24"/>
      <c r="E59" s="24"/>
      <c r="F59" s="24"/>
      <c r="G59" s="23"/>
    </row>
    <row r="60" spans="2:7" x14ac:dyDescent="0.2">
      <c r="B60" s="24"/>
      <c r="C60" s="23"/>
      <c r="D60" s="24"/>
      <c r="E60" s="24"/>
      <c r="F60" s="24"/>
      <c r="G60" s="23"/>
    </row>
    <row r="61" spans="2:7" x14ac:dyDescent="0.2">
      <c r="B61" s="24"/>
      <c r="C61" s="23"/>
      <c r="D61" s="24"/>
      <c r="E61" s="24"/>
      <c r="F61" s="24"/>
      <c r="G61" s="23"/>
    </row>
    <row r="62" spans="2:7" x14ac:dyDescent="0.2">
      <c r="B62" s="24"/>
      <c r="C62" s="23"/>
      <c r="D62" s="24"/>
      <c r="E62" s="24"/>
      <c r="F62" s="24"/>
      <c r="G62" s="23"/>
    </row>
    <row r="63" spans="2:7" x14ac:dyDescent="0.2">
      <c r="B63" s="24"/>
      <c r="C63" s="23"/>
      <c r="D63" s="24"/>
      <c r="E63" s="24"/>
      <c r="F63" s="24"/>
      <c r="G63" s="23"/>
    </row>
    <row r="64" spans="2:7" x14ac:dyDescent="0.2">
      <c r="B64" s="24"/>
      <c r="C64" s="23"/>
      <c r="D64" s="24"/>
      <c r="E64" s="24"/>
      <c r="F64" s="24"/>
      <c r="G64" s="23"/>
    </row>
    <row r="65" spans="2:7" x14ac:dyDescent="0.2">
      <c r="B65" s="24"/>
      <c r="C65" s="23"/>
      <c r="D65" s="24"/>
      <c r="E65" s="24"/>
      <c r="F65" s="24"/>
      <c r="G65" s="23"/>
    </row>
    <row r="66" spans="2:7" x14ac:dyDescent="0.2">
      <c r="B66" s="24"/>
      <c r="C66" s="23"/>
      <c r="D66" s="24"/>
      <c r="E66" s="24"/>
      <c r="F66" s="24"/>
      <c r="G66" s="23"/>
    </row>
    <row r="67" spans="2:7" x14ac:dyDescent="0.2">
      <c r="B67" s="24"/>
      <c r="C67" s="23"/>
      <c r="D67" s="24"/>
      <c r="E67" s="24"/>
      <c r="F67" s="24"/>
      <c r="G67" s="23"/>
    </row>
    <row r="68" spans="2:7" x14ac:dyDescent="0.2">
      <c r="B68" s="24"/>
      <c r="C68" s="23"/>
      <c r="D68" s="24"/>
      <c r="E68" s="24"/>
      <c r="F68" s="24"/>
      <c r="G68" s="23"/>
    </row>
    <row r="69" spans="2:7" x14ac:dyDescent="0.2">
      <c r="B69" s="24"/>
      <c r="C69" s="23"/>
      <c r="D69" s="24"/>
      <c r="E69" s="24"/>
      <c r="F69" s="24"/>
      <c r="G69" s="23"/>
    </row>
    <row r="70" spans="2:7" x14ac:dyDescent="0.2">
      <c r="B70" s="24"/>
      <c r="C70" s="23"/>
      <c r="D70" s="24"/>
      <c r="E70" s="24"/>
      <c r="F70" s="24"/>
      <c r="G70" s="23"/>
    </row>
    <row r="71" spans="2:7" x14ac:dyDescent="0.2">
      <c r="B71" s="24"/>
      <c r="C71" s="23"/>
      <c r="D71" s="24"/>
      <c r="E71" s="24"/>
      <c r="F71" s="24"/>
      <c r="G71" s="23"/>
    </row>
    <row r="72" spans="2:7" x14ac:dyDescent="0.2">
      <c r="B72" s="24"/>
      <c r="C72" s="23"/>
      <c r="D72" s="24"/>
      <c r="E72" s="24"/>
      <c r="F72" s="24"/>
      <c r="G72" s="23"/>
    </row>
    <row r="73" spans="2:7" x14ac:dyDescent="0.2">
      <c r="B73" s="24"/>
      <c r="C73" s="23"/>
      <c r="D73" s="24"/>
      <c r="E73" s="24"/>
      <c r="F73" s="24"/>
      <c r="G73" s="23"/>
    </row>
    <row r="74" spans="2:7" x14ac:dyDescent="0.2">
      <c r="B74" s="24"/>
      <c r="C74" s="23"/>
      <c r="D74" s="24"/>
      <c r="E74" s="24"/>
      <c r="F74" s="24"/>
      <c r="G74" s="23"/>
    </row>
    <row r="75" spans="2:7" x14ac:dyDescent="0.2">
      <c r="B75" s="24"/>
      <c r="C75" s="23"/>
      <c r="D75" s="24"/>
      <c r="E75" s="24"/>
      <c r="F75" s="24"/>
      <c r="G75" s="23"/>
    </row>
    <row r="76" spans="2:7" x14ac:dyDescent="0.2">
      <c r="B76" s="24"/>
      <c r="C76" s="23"/>
      <c r="D76" s="24"/>
      <c r="E76" s="24"/>
      <c r="F76" s="24"/>
      <c r="G76" s="23"/>
    </row>
    <row r="77" spans="2:7" x14ac:dyDescent="0.2">
      <c r="B77" s="24"/>
      <c r="C77" s="23"/>
      <c r="D77" s="24"/>
      <c r="E77" s="24"/>
      <c r="F77" s="24"/>
      <c r="G77" s="23"/>
    </row>
    <row r="78" spans="2:7" x14ac:dyDescent="0.2">
      <c r="B78" s="24"/>
      <c r="C78" s="23"/>
      <c r="D78" s="24"/>
      <c r="E78" s="24"/>
      <c r="F78" s="24"/>
      <c r="G78" s="23"/>
    </row>
    <row r="79" spans="2:7" x14ac:dyDescent="0.2">
      <c r="B79" s="24"/>
      <c r="C79" s="23"/>
      <c r="D79" s="24"/>
      <c r="E79" s="24"/>
      <c r="F79" s="24"/>
      <c r="G79" s="23"/>
    </row>
    <row r="80" spans="2:7" x14ac:dyDescent="0.2">
      <c r="B80" s="24"/>
      <c r="C80" s="23"/>
      <c r="D80" s="24"/>
      <c r="E80" s="24"/>
      <c r="F80" s="24"/>
      <c r="G80" s="23"/>
    </row>
    <row r="81" spans="2:7" x14ac:dyDescent="0.2">
      <c r="B81" s="24"/>
      <c r="C81" s="23"/>
      <c r="D81" s="24"/>
      <c r="E81" s="24"/>
      <c r="F81" s="24"/>
      <c r="G81" s="23"/>
    </row>
    <row r="82" spans="2:7" x14ac:dyDescent="0.2">
      <c r="B82" s="24"/>
      <c r="C82" s="23"/>
      <c r="D82" s="24"/>
      <c r="E82" s="24"/>
      <c r="F82" s="24"/>
      <c r="G82" s="23"/>
    </row>
    <row r="83" spans="2:7" x14ac:dyDescent="0.2">
      <c r="B83" s="24"/>
      <c r="C83" s="23"/>
      <c r="D83" s="24"/>
      <c r="E83" s="24"/>
      <c r="F83" s="24"/>
      <c r="G83" s="23"/>
    </row>
    <row r="84" spans="2:7" x14ac:dyDescent="0.2">
      <c r="B84" s="24"/>
      <c r="C84" s="23"/>
      <c r="D84" s="24"/>
      <c r="E84" s="24"/>
      <c r="F84" s="24"/>
      <c r="G84" s="23"/>
    </row>
    <row r="85" spans="2:7" x14ac:dyDescent="0.2">
      <c r="B85" s="24"/>
      <c r="C85" s="23"/>
      <c r="D85" s="24"/>
      <c r="E85" s="24"/>
      <c r="F85" s="24"/>
      <c r="G85" s="23"/>
    </row>
    <row r="86" spans="2:7" x14ac:dyDescent="0.2">
      <c r="B86" s="24"/>
      <c r="C86" s="23"/>
      <c r="D86" s="24"/>
      <c r="E86" s="24"/>
      <c r="F86" s="24"/>
      <c r="G86" s="23"/>
    </row>
    <row r="87" spans="2:7" x14ac:dyDescent="0.2">
      <c r="B87" s="24"/>
      <c r="C87" s="23"/>
      <c r="D87" s="24"/>
      <c r="E87" s="24"/>
      <c r="F87" s="24"/>
      <c r="G87" s="23"/>
    </row>
    <row r="88" spans="2:7" x14ac:dyDescent="0.2">
      <c r="B88" s="24"/>
      <c r="C88" s="23"/>
      <c r="D88" s="24"/>
      <c r="E88" s="24"/>
      <c r="F88" s="24"/>
      <c r="G88" s="23"/>
    </row>
    <row r="89" spans="2:7" x14ac:dyDescent="0.2">
      <c r="B89" s="24"/>
      <c r="C89" s="23"/>
      <c r="D89" s="24"/>
      <c r="E89" s="24"/>
      <c r="F89" s="24"/>
      <c r="G89" s="23"/>
    </row>
    <row r="90" spans="2:7" x14ac:dyDescent="0.2">
      <c r="B90" s="24"/>
      <c r="C90" s="23"/>
      <c r="D90" s="24"/>
      <c r="E90" s="24"/>
      <c r="F90" s="24"/>
      <c r="G90" s="23"/>
    </row>
    <row r="91" spans="2:7" x14ac:dyDescent="0.2">
      <c r="B91" s="24"/>
      <c r="C91" s="23"/>
      <c r="D91" s="24"/>
      <c r="E91" s="24"/>
      <c r="F91" s="24"/>
      <c r="G91" s="23"/>
    </row>
    <row r="92" spans="2:7" x14ac:dyDescent="0.2">
      <c r="B92" s="24"/>
      <c r="C92" s="23"/>
      <c r="D92" s="24"/>
      <c r="E92" s="24"/>
      <c r="F92" s="24"/>
      <c r="G92" s="23"/>
    </row>
    <row r="93" spans="2:7" x14ac:dyDescent="0.2">
      <c r="B93" s="24"/>
      <c r="C93" s="23"/>
      <c r="D93" s="24"/>
      <c r="E93" s="24"/>
      <c r="F93" s="24"/>
      <c r="G93" s="23"/>
    </row>
    <row r="94" spans="2:7" x14ac:dyDescent="0.2">
      <c r="B94" s="24"/>
      <c r="C94" s="23"/>
      <c r="D94" s="24"/>
      <c r="E94" s="24"/>
      <c r="F94" s="24"/>
      <c r="G94" s="23"/>
    </row>
    <row r="95" spans="2:7" x14ac:dyDescent="0.2">
      <c r="B95" s="24"/>
      <c r="C95" s="23"/>
      <c r="D95" s="24"/>
      <c r="E95" s="24"/>
      <c r="F95" s="24"/>
      <c r="G95" s="23"/>
    </row>
    <row r="96" spans="2:7" x14ac:dyDescent="0.2">
      <c r="B96" s="24"/>
      <c r="C96" s="23"/>
      <c r="D96" s="24"/>
      <c r="E96" s="24"/>
      <c r="F96" s="24"/>
      <c r="G96" s="23"/>
    </row>
    <row r="97" spans="2:7" x14ac:dyDescent="0.2">
      <c r="B97" s="24"/>
      <c r="C97" s="23"/>
      <c r="D97" s="24"/>
      <c r="E97" s="24"/>
      <c r="F97" s="24"/>
      <c r="G97" s="23"/>
    </row>
    <row r="98" spans="2:7" x14ac:dyDescent="0.2">
      <c r="B98" s="24"/>
      <c r="C98" s="23"/>
      <c r="D98" s="24"/>
      <c r="E98" s="24"/>
      <c r="F98" s="24"/>
      <c r="G98" s="23"/>
    </row>
    <row r="99" spans="2:7" x14ac:dyDescent="0.2">
      <c r="B99" s="24"/>
      <c r="C99" s="23"/>
      <c r="D99" s="24"/>
      <c r="E99" s="24"/>
      <c r="F99" s="24"/>
      <c r="G99" s="23"/>
    </row>
    <row r="100" spans="2:7" x14ac:dyDescent="0.2">
      <c r="B100" s="24"/>
      <c r="C100" s="23"/>
      <c r="D100" s="24"/>
      <c r="E100" s="24"/>
      <c r="F100" s="24"/>
      <c r="G100" s="23"/>
    </row>
    <row r="101" spans="2:7" x14ac:dyDescent="0.2">
      <c r="B101" s="24"/>
      <c r="C101" s="23"/>
      <c r="D101" s="24"/>
      <c r="E101" s="24"/>
      <c r="F101" s="24"/>
      <c r="G101" s="23"/>
    </row>
    <row r="102" spans="2:7" x14ac:dyDescent="0.2">
      <c r="B102" s="24"/>
      <c r="C102" s="23"/>
      <c r="D102" s="24"/>
      <c r="E102" s="24"/>
      <c r="F102" s="24"/>
      <c r="G102" s="23"/>
    </row>
  </sheetData>
  <mergeCells count="2">
    <mergeCell ref="B3:C3"/>
    <mergeCell ref="F3:G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License and usage</vt:lpstr>
      <vt:lpstr>ETRO Example 9-points</vt:lpstr>
      <vt:lpstr>PSNR</vt:lpstr>
      <vt:lpstr>VMAF</vt:lpstr>
      <vt:lpstr>SSIM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Microsoft Office User</cp:lastModifiedBy>
  <dcterms:created xsi:type="dcterms:W3CDTF">2013-02-11T15:28:47Z</dcterms:created>
  <dcterms:modified xsi:type="dcterms:W3CDTF">2023-02-23T06:44:59Z</dcterms:modified>
</cp:coreProperties>
</file>